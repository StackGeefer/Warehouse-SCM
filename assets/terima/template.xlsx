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19425" windowHeight="10305" activeTab="2"/>
  </bookViews>
  <sheets>
    <sheet sheetId="1" name="Input Data" state="visible" r:id="rId4"/>
    <sheet sheetId="2" name="BASTB" state="visible" r:id="rId5"/>
    <sheet sheetId="3" name="LHPB" state="visible" r:id="rId6"/>
    <sheet sheetId="4" name="Denda Keterlambatan" state="visible" r:id="rId7"/>
    <sheet sheetId="5" name="Daftar" state="hidden" r:id="rId8"/>
  </sheets>
  <definedNames>
    <definedName name="_xlnm.Print_Area" localSheetId="0">'Input Data'!$A1:$O33</definedName>
    <definedName name="_xlnm.Print_Area" localSheetId="1">'BASTB'!$A1:$F48</definedName>
    <definedName name="_xlnm.Print_Area" localSheetId="2">'LHPB'!$A1:$J72</definedName>
    <definedName name="_xlnm.Print_Area" localSheetId="3">'Denda Keterlambatan'!$A1:$J70</definedName>
  </definedNames>
  <calcPr calcId="171027"/>
</workbook>
</file>

<file path=xl/sharedStrings.xml><?xml version="1.0" encoding="utf-8"?>
<sst xmlns="http://schemas.openxmlformats.org/spreadsheetml/2006/main" count="249" uniqueCount="192">
  <si>
    <t>INPUT DATA – PENERIMAAN MATERIAL PERSEDIAAN DAN NON-PERSEDIAAN DI WAREHOUSE</t>
  </si>
  <si>
    <t>Sumber data untuk sheet BASTB (Lampiran 3), LHPB (Lampiran 5) dan Form Perhitungan Denda Keterlambatan (Lampiran 6) – TKO No. B7-084/PHE52000/2025-S9. Isi hanya sel berwarna krem; sel putih terhitung otomatis.</t>
  </si>
  <si>
    <t>A. DOKUMEN PEMBELIAN &amp; VENDOR</t>
  </si>
  <si>
    <t>B. PENERIMAAN &amp; NOMOR DOKUMEN</t>
  </si>
  <si>
    <t>Nomor PO/RO</t>
  </si>
  <si>
    <t>Judul Pekerjaan / Perihal</t>
  </si>
  <si>
    <t>Nomor Kontrak/OA</t>
  </si>
  <si>
    <t>Warehouse / Titik Penerimaan</t>
  </si>
  <si>
    <t>Jangka Waktu Kontrak</t>
  </si>
  <si>
    <t>Tanggal Penerimaan Barang</t>
  </si>
  <si>
    <t>Delivery Date (sesuai PO/RO)</t>
  </si>
  <si>
    <t>Tanggal Pemeriksaan</t>
  </si>
  <si>
    <t>Tipe Material</t>
  </si>
  <si>
    <t>Pengawas Pekerjaan/Pengadaan</t>
  </si>
  <si>
    <t>Partial Quantity diizinkan</t>
  </si>
  <si>
    <t>Nomor GR</t>
  </si>
  <si>
    <t>Vendor Commitment</t>
  </si>
  <si>
    <t>Tanggal GR</t>
  </si>
  <si>
    <t>ID Vendor</t>
  </si>
  <si>
    <t>Nomor BAST</t>
  </si>
  <si>
    <t>Nama Vendor</t>
  </si>
  <si>
    <t>Tanggal BAST</t>
  </si>
  <si>
    <t>NPWP/NITKU</t>
  </si>
  <si>
    <t>Nomor LHPB</t>
  </si>
  <si>
    <t>Email Vendor</t>
  </si>
  <si>
    <t>Nomor Form Denda</t>
  </si>
  <si>
    <t>Nomor Telp Vendor</t>
  </si>
  <si>
    <t>Entitas Buyer</t>
  </si>
  <si>
    <t>PT Pertamina EP Field Rantau</t>
  </si>
  <si>
    <t>Ringkasan (otomatis)</t>
  </si>
  <si>
    <t>Tarif denda per hari keterlambatan</t>
  </si>
  <si>
    <t>Jumlah item</t>
  </si>
  <si>
    <t>Batas maksimum denda</t>
  </si>
  <si>
    <t>Status penyerahan</t>
  </si>
  <si>
    <t>Total denda (IDR)</t>
  </si>
  <si>
    <t>C. DATA MATERIAL (maksimal 10 item per dokumen)</t>
  </si>
  <si>
    <t>No</t>
  </si>
  <si>
    <t>Line No.</t>
  </si>
  <si>
    <t xml:space="preserve">KIMAP /
Nomor Material</t>
  </si>
  <si>
    <t>Deskripsi Material</t>
  </si>
  <si>
    <t>Satuan</t>
  </si>
  <si>
    <t xml:space="preserve">Qty
PO/RO</t>
  </si>
  <si>
    <t xml:space="preserve">Qty
Diterima</t>
  </si>
  <si>
    <t xml:space="preserve">Harga Satuan
(IDR)</t>
  </si>
  <si>
    <t xml:space="preserve">Jumlah Harga
PO/RO (IDR)</t>
  </si>
  <si>
    <t>% TKDN</t>
  </si>
  <si>
    <t xml:space="preserve">Tgl Jatuh Tempo
(jika beda per item)</t>
  </si>
  <si>
    <t xml:space="preserve">Tgl Penerimaan
(jika beda per item)</t>
  </si>
  <si>
    <t xml:space="preserve">Hari
Terlambat</t>
  </si>
  <si>
    <t xml:space="preserve">Status
Pemeriksaan</t>
  </si>
  <si>
    <t>Catatan</t>
  </si>
  <si>
    <t>Total</t>
  </si>
  <si>
    <t>PETUNJUK PENGISIAN (di luar area cetak)</t>
  </si>
  <si>
    <t>1. Semua data PO/RO, vendor, penerimaan dan material cukup diisi di sheet ini; sheet BASTB, LHPB dan Denda Keterlambatan otomatis mengambil datanya.</t>
  </si>
  <si>
    <t>2. Tgl Jatuh Tempo dan Tgl Penerimaan per item boleh dikosongkan – jika kosong dipakai Delivery Date (bagian A) dan Tanggal Penerimaan Barang (bagian B). Hari Terlambat = Tgl Penerimaan − Tgl Jatuh Tempo (hari kalender).</t>
  </si>
  <si>
    <t>3. BASTB memakai Qty Diterima; LHPB menampilkan Qty PO/RO dan Qty Diterima; denda dihitung dari Jumlah Harga PO/RO × % keterlambatan.</t>
  </si>
  <si>
    <t>4. Tarif 0,1%/hari dan maksimum 5% hanya nilai awal – wajib disesuaikan dengan klausul denda OA/RO/PO.</t>
  </si>
  <si>
    <t>5. Contoh baris: Line No. 10 · KIMAP 1000123456 · Gate Valve 2" 600# · EA · Qty PO 4 · Qty Diterima 4 · Harga 2500000 · TKDN 25% · Status Diterima.</t>
  </si>
  <si>
    <t>Lampiran 3 – TKO No. B7-084/PHE52000/2025-S9-F002 · Revisi Ke-0</t>
  </si>
  <si>
    <t xml:space="preserve">PERTAMINA
HULU ENERGI</t>
  </si>
  <si>
    <t xml:space="preserve">BERITA ACARA
SERAH TERIMA BARANG</t>
  </si>
  <si>
    <t>Nomor Kontrak</t>
  </si>
  <si>
    <t>Nomor PO</t>
  </si>
  <si>
    <t>Perihal</t>
  </si>
  <si>
    <t>Pernyataan meliputi :</t>
  </si>
  <si>
    <t>No.</t>
  </si>
  <si>
    <t>Deskripsi Barang</t>
  </si>
  <si>
    <t>Kuantitas</t>
  </si>
  <si>
    <t>KIMAP</t>
  </si>
  <si>
    <t>Harga Satuan (IDR)</t>
  </si>
  <si>
    <t>Jumlah (IDR)</t>
  </si>
  <si>
    <t>1. Seluruh data di sheet ini otomatis diambil dari sheet Input Data. Yang diisi di sini hanya sel krem: Nama Pejabat Berwenang (baris pertama) dan Jabatan (baris kedua).</t>
  </si>
  <si>
    <t>2. Kuantitas memakai Qty Diterima. Status terlambat/tidak terlambat pada poin 3 mengikuti kolom Hari Terlambat di Input Data.</t>
  </si>
  <si>
    <t>3. Persetujuan BASTB: material persediaan oleh Sub Fungsi Warehouse Operation Zona/SCM Zona; non-persediaan oleh Fungsi Pengguna (TKO Tabel 2).</t>
  </si>
  <si>
    <t>Lampiran 5 – TKO No. B7-084/PHE52000/2025-S9-F004 · Revisi Ke-0</t>
  </si>
  <si>
    <t>LAPORAN HASIL PEMERIKSAAN BARANG (LHPB)</t>
  </si>
  <si>
    <t>Nomor</t>
  </si>
  <si>
    <t>Lokasi Pemeriksaan</t>
  </si>
  <si>
    <t>Judul Pekerjaan</t>
  </si>
  <si>
    <t>Jumlah Item</t>
  </si>
  <si>
    <t>BERDASARKAN</t>
  </si>
  <si>
    <t>Nomor OA/Kontrak</t>
  </si>
  <si>
    <t>Delivery Date</t>
  </si>
  <si>
    <t>Tipe  :</t>
  </si>
  <si>
    <t>Persediaan</t>
  </si>
  <si>
    <t>Non Persediaan</t>
  </si>
  <si>
    <t>Partial Quantity</t>
  </si>
  <si>
    <t>Vendor Commitment  :</t>
  </si>
  <si>
    <t>Full Delivery</t>
  </si>
  <si>
    <t>Partial Delivery</t>
  </si>
  <si>
    <t>Nomor Material</t>
  </si>
  <si>
    <t>Status Pemeriksaan</t>
  </si>
  <si>
    <t>Diterima</t>
  </si>
  <si>
    <t>Ditolak</t>
  </si>
  <si>
    <t>HASIL PEMERIKSAAN BARANG KESELURUHAN</t>
  </si>
  <si>
    <t>Kondisi Kemasan  :</t>
  </si>
  <si>
    <t>Baik</t>
  </si>
  <si>
    <t>Rusak</t>
  </si>
  <si>
    <t>Jumlah Barang  :</t>
  </si>
  <si>
    <t>Lengkap</t>
  </si>
  <si>
    <t>Kurang</t>
  </si>
  <si>
    <t>Jenis dan Spesifikasi  :</t>
  </si>
  <si>
    <t>Sesuai</t>
  </si>
  <si>
    <t>Tidak Sesuai</t>
  </si>
  <si>
    <t>Sebagian Tidak Sesuai</t>
  </si>
  <si>
    <t>Kondisi Barang  :</t>
  </si>
  <si>
    <t>Baru &amp; Baik</t>
  </si>
  <si>
    <t>Tidak Baik</t>
  </si>
  <si>
    <t>Bekas</t>
  </si>
  <si>
    <t>Diperlakukan Uji Fungsi*  :</t>
  </si>
  <si>
    <t>Ya</t>
  </si>
  <si>
    <t>Tidak</t>
  </si>
  <si>
    <t>Hasil Uji Fungsi*  :</t>
  </si>
  <si>
    <t>Lulus</t>
  </si>
  <si>
    <t>Tidak Lulus</t>
  </si>
  <si>
    <t>Kesesuaian Waktu Penyerahan  :</t>
  </si>
  <si>
    <t>Sesuai PO/RO</t>
  </si>
  <si>
    <t>Terlambat</t>
  </si>
  <si>
    <t>(*) jika dipersyaratkan</t>
  </si>
  <si>
    <t>GENERAL CHECKLIST DOCUMENTS</t>
  </si>
  <si>
    <t>(disesuaikan dengan Dokumen yang dipersyaratkan pada PO/Kontrak)</t>
  </si>
  <si>
    <t>Dokumen</t>
  </si>
  <si>
    <t>Hasil</t>
  </si>
  <si>
    <t>Yes</t>
  </si>
  <si>
    <t>Dokumen Pembelian (PO/RO) asli/salinan bertandatangan</t>
  </si>
  <si>
    <t>Surat Jalan Asli (dengan referensi nomor PO/RO)</t>
  </si>
  <si>
    <t>Sertifikat Barang / dokumen pendukung sesuai PO/RO</t>
  </si>
  <si>
    <t>Kesimpulan  :</t>
  </si>
  <si>
    <t>Tidak Diterima</t>
  </si>
  <si>
    <t>Sebagian Diterima</t>
  </si>
  <si>
    <t>CATATAN</t>
  </si>
  <si>
    <t>Demikian laporan ini dibuat dengan sebenar-benarnya berdasarkan hasil pemeriksaan terhadap kuantitas, kualitas, dan dokumen barang sesuai persyaratan dan prosedur yang berlaku.</t>
  </si>
  <si>
    <t>Pemeriksa/Perwakilan Perusahaan</t>
  </si>
  <si>
    <t>Nama</t>
  </si>
  <si>
    <t>No. ID</t>
  </si>
  <si>
    <t>Jabatan</t>
  </si>
  <si>
    <t>Fungsi/Sub Fungsi</t>
  </si>
  <si>
    <t>Tandatangan</t>
  </si>
  <si>
    <t>Mengetahui:</t>
  </si>
  <si>
    <t>1. Data header, PO/RO dan tabel material otomatis dari sheet Input Data. Kotak putih juga terisi otomatis: Tipe, Vendor Commitment, Status Pemeriksaan per item (kolom Status di Input Data), Jumlah Barang (Lengkap jika Qty Diterima ≥ Qty PO/RO), Kesesuaian Waktu Penyerahan dan Kesimpulan.</t>
  </si>
  <si>
    <t>2. Kotak krem diisi manual: pilih ✓ dari daftar atau biarkan kosong untuk dicentang setelah dicetak. Kolom Dokumen pada General Checklist punya daftar pilihan dari Lampiran 8 dan bisa diketik bebas.</t>
  </si>
  <si>
    <t>3. Fungsi pemeriksa mengikuti Tabel 1 TKO sesuai kategori material. Persetujuan LHPB: persediaan oleh Sub Fungsi QA/QC/Receiving, non-persediaan oleh Sub Fungsi QA/QC/Fungsi Pengguna (Tabel 2).</t>
  </si>
  <si>
    <t>Lampiran 6 – TKO No. B7-084/PHE52000/2025-S9-F005 · Revisi Ke-0</t>
  </si>
  <si>
    <t xml:space="preserve">FORM PERHITUNGAN DENDA
KETERLAMBATAN PENGIRIMAN BARANG</t>
  </si>
  <si>
    <t>Nomor :</t>
  </si>
  <si>
    <t>Referensi Nomor GR</t>
  </si>
  <si>
    <t>Qty</t>
  </si>
  <si>
    <t>Jumlah Harga (IDR)</t>
  </si>
  <si>
    <t>Berdasarkan tanggal penerimaan di Titik Penerimaan Barang (Delivery Point) :</t>
  </si>
  <si>
    <t xml:space="preserve">Line
No.</t>
  </si>
  <si>
    <t>Persyaratan PO/RO</t>
  </si>
  <si>
    <t>Penerimaan Warehouse</t>
  </si>
  <si>
    <t>Keterangan</t>
  </si>
  <si>
    <t xml:space="preserve">Tanggal
Jatuh Tempo</t>
  </si>
  <si>
    <t xml:space="preserve">Tanggal
Penerimaan</t>
  </si>
  <si>
    <t>Denda/sanksi atas ketidaksesuaian Waktu Penerimaan Barang:</t>
  </si>
  <si>
    <t>Perhitungan denda dihitung berdasarkan ketentuan yang diatur di dalam Outline Agreement (OA), Release Order (RO), dan Purchase Order (PO)</t>
  </si>
  <si>
    <t>Tarif denda per hari keterlambatan :</t>
  </si>
  <si>
    <t>Batas maksimum denda :</t>
  </si>
  <si>
    <t xml:space="preserve">Jumlah Harga
(IDR)</t>
  </si>
  <si>
    <t>Keterlambatan</t>
  </si>
  <si>
    <t xml:space="preserve">Denda
(IDR)</t>
  </si>
  <si>
    <t>Hari</t>
  </si>
  <si>
    <t>Persentase</t>
  </si>
  <si>
    <t>Demikian form ini dibuat sesuai dengan kondisi sebenarnya.</t>
  </si>
  <si>
    <t>Disiapkan Oleh,</t>
  </si>
  <si>
    <t>Diverifikasi Oleh,</t>
  </si>
  <si>
    <t>Disetujui Oleh,</t>
  </si>
  <si>
    <t>1. Seluruh data, tanggal, hari keterlambatan, tarif dan batas maksimum denda otomatis dari sheet Input Data. Yang diisi di sini hanya nama dan jabatan penandatangan (sel krem).</t>
  </si>
  <si>
    <t>2. Persentase denda = hari terlambat × tarif per hari, dibatasi batas maksimum; Denda = Jumlah Harga × Persentase (dibulatkan ke rupiah).</t>
  </si>
  <si>
    <t>3. Persediaan: dibuat Sub Fungsi Receiving, diverifikasi Sub Fungsi MIM dan/atau Masterlist &amp; Custom Clearance, disetujui AM Warehouse Operation Zona/Head of SCM Zona. Non-persediaan: dibuat &amp; diverifikasi Fungsi Pengguna, disetujui AM Fungsi Pengguna atau setara (TKO Tabel 2).</t>
  </si>
  <si>
    <t>Daftar Dokumen (Lampiran 8 TKO B7-084)</t>
  </si>
  <si>
    <t>Material Mill Certificate</t>
  </si>
  <si>
    <t>Vendor Warranty</t>
  </si>
  <si>
    <t>Vendor Quality Assurance (Jaminan Kualitas)</t>
  </si>
  <si>
    <t>API Certificate</t>
  </si>
  <si>
    <t>Certificate of Compliance/Conformance</t>
  </si>
  <si>
    <t>Pressure Test Report</t>
  </si>
  <si>
    <t>Chemical Analysis</t>
  </si>
  <si>
    <t>Functional Test Report</t>
  </si>
  <si>
    <t>Calibration Certificate</t>
  </si>
  <si>
    <t>Catalog</t>
  </si>
  <si>
    <t>Instruction Manual</t>
  </si>
  <si>
    <t>Data Sheet</t>
  </si>
  <si>
    <t>Drawing</t>
  </si>
  <si>
    <t>LDK/SDS (Bahasa Indonesia)</t>
  </si>
  <si>
    <t>MIGAS/Disnaker Certification</t>
  </si>
  <si>
    <t>Minutes of MIGAS Inspection</t>
  </si>
  <si>
    <t>Load Test Report</t>
  </si>
  <si>
    <t>Proof Test Certificate</t>
  </si>
  <si>
    <t>Inspection Release Note</t>
  </si>
  <si>
    <t>Dokumen Kepabeanan (Incoterm DAP)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</si>
</sst>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21]dd mmmm yyyy"/>
    <numFmt numFmtId="165" formatCode="#,##0;-#,##0;-"/>
    <numFmt numFmtId="166" formatCode="dd/mm/yyyy"/>
  </numFmts>
  <fonts count="15" x14ac:knownFonts="1">
    <font>
      <color theme="1"/>
      <family val="2"/>
      <scheme val="minor"/>
      <sz val="11"/>
      <name val="Calibri"/>
    </font>
    <font>
      <b/>
      <charset val="1"/>
      <color rgb="FF0B4EA2"/>
      <sz val="13"/>
      <name val="Arial"/>
    </font>
    <font>
      <i/>
      <charset val="1"/>
      <color rgb="FF595959"/>
      <sz val="8"/>
      <name val="Arial"/>
    </font>
    <font>
      <b/>
      <charset val="1"/>
      <color rgb="FF000000"/>
      <sz val="9"/>
      <name val="Arial"/>
    </font>
    <font>
      <charset val="1"/>
      <color rgb="FF000000"/>
      <sz val="9"/>
      <name val="Arial"/>
    </font>
    <font>
      <u/>
      <charset val="1"/>
      <color theme="10"/>
      <family val="2"/>
      <sz val="11"/>
      <name val="Calibri"/>
    </font>
    <font>
      <b/>
      <charset val="1"/>
      <color rgb="FF000000"/>
      <sz val="8"/>
      <name val="Arial"/>
    </font>
    <font>
      <b/>
      <charset val="1"/>
      <color rgb="FF595959"/>
      <sz val="8"/>
      <name val="Arial"/>
    </font>
    <font>
      <b/>
      <charset val="1"/>
      <color rgb="FF0B4EA2"/>
      <sz val="12"/>
      <name val="Arial"/>
    </font>
    <font>
      <b/>
      <charset val="1"/>
      <color rgb="FF000000"/>
      <sz val="12"/>
      <name val="Arial"/>
    </font>
    <font>
      <b/>
      <u/>
      <charset val="1"/>
      <color rgb="FF000000"/>
      <sz val="9"/>
      <name val="Arial"/>
    </font>
    <font>
      <b/>
      <charset val="1"/>
      <color rgb="FF000000"/>
      <sz val="10"/>
      <name val="Arial"/>
    </font>
    <font>
      <i/>
      <charset val="1"/>
      <color rgb="FF000000"/>
      <sz val="8"/>
      <name val="Arial"/>
    </font>
    <font>
      <i/>
      <charset val="1"/>
      <color rgb="FF000000"/>
      <sz val="9"/>
      <name val="Arial"/>
    </font>
    <font>
      <charset val="1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8DC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0" fontId="4" fillId="3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165" fontId="4" fillId="0" borderId="1" xfId="0" applyNumberFormat="1" applyFont="1" applyBorder="1" applyAlignment="1">
      <alignment horizontal="right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10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10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workbookViewId="0" showGridLines="0" zoomScale="100" zoomScaleNormal="100">
      <pane ySplit="3" topLeftCell="A16" activePane="bottomLeft" state="frozen"/>
      <selection pane="bottomLeft" activeCell="N24" sqref="N24"/>
    </sheetView>
  </sheetViews>
  <sheetFormatPr defaultRowHeight="15" outlineLevelRow="0" outlineLevelCol="0" x14ac:dyDescent="0.25" defaultColWidth="8.5703125"/>
  <cols>
    <col min="1" max="1" width="5" customWidth="1"/>
    <col min="2" max="2" width="8" customWidth="1"/>
    <col min="3" max="3" width="16" customWidth="1"/>
    <col min="4" max="4" width="38" customWidth="1"/>
    <col min="5" max="5" width="8" customWidth="1"/>
    <col min="6" max="7" width="10" customWidth="1"/>
    <col min="8" max="8" width="16" customWidth="1"/>
    <col min="9" max="9" width="18" customWidth="1"/>
    <col min="11" max="12" width="13" customWidth="1"/>
    <col min="13" max="13" width="10" customWidth="1"/>
    <col min="14" max="14" width="13" customWidth="1"/>
    <col min="15" max="15" width="26" customWidth="1"/>
  </cols>
  <sheetData>
    <row r="1" ht="16.1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15" customHeight="1" spans="1:12" x14ac:dyDescent="0.25">
      <c r="A4" s="3" t="s">
        <v>2</v>
      </c>
      <c r="B4" s="3"/>
      <c r="C4" s="3"/>
      <c r="D4" s="3"/>
      <c r="E4" s="3"/>
      <c r="H4" s="3" t="s">
        <v>3</v>
      </c>
      <c r="I4" s="3"/>
      <c r="J4" s="3"/>
      <c r="K4" s="3"/>
      <c r="L4" s="3"/>
    </row>
    <row r="5" ht="36" customHeight="1" spans="1:12" x14ac:dyDescent="0.25">
      <c r="A5" s="4" t="s">
        <v>4</v>
      </c>
      <c r="B5" s="4"/>
      <c r="C5" s="4"/>
      <c r="D5" s="5"/>
      <c r="E5" s="5"/>
      <c r="H5" s="4" t="s">
        <v>5</v>
      </c>
      <c r="I5" s="4"/>
      <c r="J5" s="6"/>
      <c r="K5" s="6"/>
      <c r="L5" s="6"/>
    </row>
    <row r="6" ht="15" customHeight="1" spans="1:12" x14ac:dyDescent="0.25">
      <c r="A6" s="4" t="s">
        <v>6</v>
      </c>
      <c r="B6" s="4"/>
      <c r="C6" s="4"/>
      <c r="D6" s="5"/>
      <c r="E6" s="5"/>
      <c r="H6" s="4" t="s">
        <v>7</v>
      </c>
      <c r="I6" s="4"/>
      <c r="J6" s="6"/>
      <c r="K6" s="6"/>
      <c r="L6" s="6"/>
    </row>
    <row r="7" ht="15" customHeight="1" spans="1:12" x14ac:dyDescent="0.25">
      <c r="A7" s="4" t="s">
        <v>8</v>
      </c>
      <c r="B7" s="4"/>
      <c r="C7" s="4"/>
      <c r="D7" s="6"/>
      <c r="E7" s="6"/>
      <c r="H7" s="4" t="s">
        <v>9</v>
      </c>
      <c r="I7" s="4"/>
      <c r="J7" s="7"/>
      <c r="K7" s="7"/>
      <c r="L7" s="7"/>
    </row>
    <row r="8" ht="15" customHeight="1" spans="1:12" x14ac:dyDescent="0.25">
      <c r="A8" s="4" t="s">
        <v>10</v>
      </c>
      <c r="B8" s="4"/>
      <c r="C8" s="4"/>
      <c r="D8" s="7"/>
      <c r="E8" s="7"/>
      <c r="H8" s="4" t="s">
        <v>11</v>
      </c>
      <c r="I8" s="4"/>
      <c r="J8" s="7"/>
      <c r="K8" s="7"/>
      <c r="L8" s="7"/>
    </row>
    <row r="9" ht="15" customHeight="1" spans="1:12" x14ac:dyDescent="0.25">
      <c r="A9" s="4" t="s">
        <v>12</v>
      </c>
      <c r="B9" s="4"/>
      <c r="C9" s="4"/>
      <c r="D9" s="6"/>
      <c r="E9" s="6"/>
      <c r="H9" s="4" t="s">
        <v>13</v>
      </c>
      <c r="I9" s="4"/>
      <c r="J9" s="6"/>
      <c r="K9" s="6"/>
      <c r="L9" s="6"/>
    </row>
    <row r="10" ht="15" customHeight="1" spans="1:12" x14ac:dyDescent="0.25">
      <c r="A10" s="4" t="s">
        <v>14</v>
      </c>
      <c r="B10" s="4"/>
      <c r="C10" s="4"/>
      <c r="D10" s="6"/>
      <c r="E10" s="6"/>
      <c r="H10" s="4" t="s">
        <v>15</v>
      </c>
      <c r="I10" s="4"/>
      <c r="J10" s="5"/>
      <c r="K10" s="5"/>
      <c r="L10" s="5"/>
    </row>
    <row r="11" ht="15" customHeight="1" spans="1:12" x14ac:dyDescent="0.25">
      <c r="A11" s="4" t="s">
        <v>16</v>
      </c>
      <c r="B11" s="4"/>
      <c r="C11" s="4"/>
      <c r="D11" s="6"/>
      <c r="E11" s="6"/>
      <c r="H11" s="4" t="s">
        <v>17</v>
      </c>
      <c r="I11" s="4"/>
      <c r="J11" s="7"/>
      <c r="K11" s="7"/>
      <c r="L11" s="7"/>
    </row>
    <row r="12" ht="15" customHeight="1" spans="1:12" x14ac:dyDescent="0.25">
      <c r="A12" s="4" t="s">
        <v>18</v>
      </c>
      <c r="B12" s="4"/>
      <c r="C12" s="4"/>
      <c r="D12" s="5"/>
      <c r="E12" s="5"/>
      <c r="H12" s="4" t="s">
        <v>19</v>
      </c>
      <c r="I12" s="4"/>
      <c r="J12" s="5"/>
      <c r="K12" s="5"/>
      <c r="L12" s="5"/>
    </row>
    <row r="13" ht="15" customHeight="1" spans="1:12" x14ac:dyDescent="0.25">
      <c r="A13" s="4" t="s">
        <v>20</v>
      </c>
      <c r="B13" s="4"/>
      <c r="C13" s="4"/>
      <c r="D13" s="6"/>
      <c r="E13" s="6"/>
      <c r="H13" s="4" t="s">
        <v>21</v>
      </c>
      <c r="I13" s="4"/>
      <c r="J13" s="7"/>
      <c r="K13" s="7"/>
      <c r="L13" s="7"/>
    </row>
    <row r="14" ht="15" customHeight="1" spans="1:12" x14ac:dyDescent="0.25">
      <c r="A14" s="4" t="s">
        <v>22</v>
      </c>
      <c r="B14" s="4"/>
      <c r="C14" s="4"/>
      <c r="D14" s="5"/>
      <c r="E14" s="5"/>
      <c r="H14" s="4" t="s">
        <v>23</v>
      </c>
      <c r="I14" s="4"/>
      <c r="J14" s="5"/>
      <c r="K14" s="5"/>
      <c r="L14" s="5"/>
    </row>
    <row r="15" ht="15" customHeight="1" spans="1:12" x14ac:dyDescent="0.25">
      <c r="A15" s="4" t="s">
        <v>24</v>
      </c>
      <c r="B15" s="4"/>
      <c r="C15" s="4"/>
      <c r="D15" s="8"/>
      <c r="E15" s="6"/>
      <c r="H15" s="4" t="s">
        <v>25</v>
      </c>
      <c r="I15" s="4"/>
      <c r="J15" s="5"/>
      <c r="K15" s="5"/>
      <c r="L15" s="5"/>
    </row>
    <row r="16" ht="15" customHeight="1" spans="1:5" x14ac:dyDescent="0.25">
      <c r="A16" s="4" t="s">
        <v>26</v>
      </c>
      <c r="B16" s="4"/>
      <c r="C16" s="4"/>
      <c r="D16" s="5"/>
      <c r="E16" s="5"/>
    </row>
    <row r="17" ht="15" customHeight="1" spans="1:12" x14ac:dyDescent="0.25">
      <c r="A17" s="4" t="s">
        <v>27</v>
      </c>
      <c r="B17" s="4"/>
      <c r="C17" s="4"/>
      <c r="D17" s="6" t="s">
        <v>28</v>
      </c>
      <c r="E17" s="6"/>
      <c r="H17" s="3" t="s">
        <v>29</v>
      </c>
      <c r="I17" s="3"/>
      <c r="J17" s="3"/>
      <c r="K17" s="3"/>
      <c r="L17" s="3"/>
    </row>
    <row r="18" ht="15" customHeight="1" spans="1:12" x14ac:dyDescent="0.25">
      <c r="A18" s="4" t="s">
        <v>30</v>
      </c>
      <c r="B18" s="4"/>
      <c r="C18" s="4"/>
      <c r="D18" s="9">
        <v>0.001</v>
      </c>
      <c r="E18" s="9"/>
      <c r="H18" s="4" t="s">
        <v>31</v>
      </c>
      <c r="I18" s="4"/>
      <c r="J18" s="10">
        <f>IF(COUNTA(D23:D32)=0,"",COUNTA(D23:D32))</f>
        <v>2</v>
      </c>
      <c r="K18" s="10"/>
      <c r="L18" s="10"/>
    </row>
    <row r="19" ht="15" customHeight="1" spans="1:12" x14ac:dyDescent="0.25">
      <c r="A19" s="4" t="s">
        <v>32</v>
      </c>
      <c r="B19" s="4"/>
      <c r="C19" s="4"/>
      <c r="D19" s="9">
        <v>0.05</v>
      </c>
      <c r="E19" s="9"/>
      <c r="H19" s="4" t="s">
        <v>33</v>
      </c>
      <c r="I19" s="4"/>
      <c r="J19" s="10">
        <f>IF(COUNT(M23:M32)=0,"",IF(MAX(M23:M32)&gt;0,"terlambat","tidak terlambat"))</f>
      </c>
      <c r="K19" s="10"/>
      <c r="L19" s="10"/>
    </row>
    <row r="20" ht="15" customHeight="1" spans="8:12" x14ac:dyDescent="0.25">
      <c r="H20" s="4" t="s">
        <v>34</v>
      </c>
      <c r="I20" s="4"/>
      <c r="J20" s="11" t="e">
        <f>'Denda Keterlambatan'!J59</f>
        <v>#VALUE!</v>
      </c>
      <c r="K20" s="11"/>
      <c r="L20" s="11"/>
    </row>
    <row r="21" ht="15" customHeight="1" spans="1:15" x14ac:dyDescent="0.25">
      <c r="A21" s="3" t="s">
        <v>35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50.25" customHeight="1" spans="1:15" x14ac:dyDescent="0.25">
      <c r="A22" s="12" t="s">
        <v>36</v>
      </c>
      <c r="B22" s="12" t="s">
        <v>37</v>
      </c>
      <c r="C22" s="12" t="s">
        <v>38</v>
      </c>
      <c r="D22" s="12" t="s">
        <v>39</v>
      </c>
      <c r="E22" s="12" t="s">
        <v>40</v>
      </c>
      <c r="F22" s="12" t="s">
        <v>41</v>
      </c>
      <c r="G22" s="12" t="s">
        <v>42</v>
      </c>
      <c r="H22" s="12" t="s">
        <v>43</v>
      </c>
      <c r="I22" s="12" t="s">
        <v>44</v>
      </c>
      <c r="J22" s="12" t="s">
        <v>45</v>
      </c>
      <c r="K22" s="12" t="s">
        <v>46</v>
      </c>
      <c r="L22" s="12" t="s">
        <v>47</v>
      </c>
      <c r="M22" s="12" t="s">
        <v>48</v>
      </c>
      <c r="N22" s="12" t="s">
        <v>49</v>
      </c>
      <c r="O22" s="12" t="s">
        <v>50</v>
      </c>
    </row>
    <row r="23" ht="15" customHeight="1" spans="1:15" x14ac:dyDescent="0.25">
      <c r="A23" s="13">
        <v>1</v>
      </c>
      <c r="B23" s="14"/>
      <c r="C23" s="14"/>
      <c r="D23" s="6"/>
      <c r="E23" s="15"/>
      <c r="F23" s="15"/>
      <c r="G23" s="15"/>
      <c r="H23" s="16"/>
      <c r="I23" s="17">
        <f t="shared" ref="I23:I32" si="0">IF(OR(F23="",H23=""),"",F23*H23)</f>
        <v>131730000</v>
      </c>
      <c r="J23" s="18"/>
      <c r="K23" s="19"/>
      <c r="L23" s="19"/>
      <c r="M23" s="13" t="e">
        <f t="shared" ref="M23:M32" si="1">IF(D23="","",IF(OR(IF(K23="",$D$8,K23)="",IF(L23="",$J$7,L23)=""),"",MAX(0,IF(L23="",$J$7,L23)-IF(K23="",$D$8,K23))))</f>
        <v>#VALUE!</v>
      </c>
      <c r="N23" s="15"/>
      <c r="O23" s="6"/>
    </row>
    <row r="24" ht="15" customHeight="1" spans="1:15" x14ac:dyDescent="0.25">
      <c r="A24" s="13">
        <v>2</v>
      </c>
      <c r="B24" s="14"/>
      <c r="C24" s="14"/>
      <c r="D24" s="6"/>
      <c r="E24" s="15"/>
      <c r="F24" s="15"/>
      <c r="G24" s="15"/>
      <c r="H24" s="16"/>
      <c r="I24" s="17">
        <f t="shared" si="0"/>
        <v>153000000</v>
      </c>
      <c r="J24" s="18"/>
      <c r="K24" s="19"/>
      <c r="L24" s="19"/>
      <c r="M24" s="13" t="e">
        <f t="shared" si="1"/>
        <v>#VALUE!</v>
      </c>
      <c r="N24" s="15"/>
      <c r="O24" s="6"/>
    </row>
    <row r="25" ht="15" customHeight="1" spans="1:15" x14ac:dyDescent="0.25">
      <c r="A25" s="13">
        <v>3</v>
      </c>
      <c r="B25" s="14"/>
      <c r="C25" s="14"/>
      <c r="D25" s="6"/>
      <c r="E25" s="15"/>
      <c r="F25" s="15"/>
      <c r="G25" s="15"/>
      <c r="H25" s="16"/>
      <c r="I25" s="17">
        <f t="shared" si="0"/>
      </c>
      <c r="J25" s="18"/>
      <c r="K25" s="19"/>
      <c r="L25" s="19"/>
      <c r="M25" s="13">
        <f t="shared" si="1"/>
      </c>
      <c r="N25" s="15"/>
      <c r="O25" s="6"/>
    </row>
    <row r="26" ht="15" customHeight="1" spans="1:15" x14ac:dyDescent="0.25">
      <c r="A26" s="13">
        <v>4</v>
      </c>
      <c r="B26" s="14"/>
      <c r="C26" s="14"/>
      <c r="D26" s="6"/>
      <c r="E26" s="15"/>
      <c r="F26" s="15"/>
      <c r="G26" s="15"/>
      <c r="H26" s="16"/>
      <c r="I26" s="17">
        <f t="shared" si="0"/>
      </c>
      <c r="J26" s="18"/>
      <c r="K26" s="19"/>
      <c r="L26" s="19"/>
      <c r="M26" s="13">
        <f t="shared" si="1"/>
      </c>
      <c r="N26" s="15"/>
      <c r="O26" s="6"/>
    </row>
    <row r="27" ht="15" customHeight="1" spans="1:15" x14ac:dyDescent="0.25">
      <c r="A27" s="13">
        <v>5</v>
      </c>
      <c r="B27" s="14"/>
      <c r="C27" s="14"/>
      <c r="D27" s="6"/>
      <c r="E27" s="15"/>
      <c r="F27" s="15"/>
      <c r="G27" s="15"/>
      <c r="H27" s="16"/>
      <c r="I27" s="17">
        <f t="shared" si="0"/>
      </c>
      <c r="J27" s="18"/>
      <c r="K27" s="19"/>
      <c r="L27" s="19"/>
      <c r="M27" s="13">
        <f t="shared" si="1"/>
      </c>
      <c r="N27" s="15"/>
      <c r="O27" s="6"/>
    </row>
    <row r="28" ht="15" customHeight="1" spans="1:15" x14ac:dyDescent="0.25">
      <c r="A28" s="13">
        <v>6</v>
      </c>
      <c r="B28" s="14"/>
      <c r="C28" s="14"/>
      <c r="D28" s="6"/>
      <c r="E28" s="15"/>
      <c r="F28" s="15"/>
      <c r="G28" s="15"/>
      <c r="H28" s="16"/>
      <c r="I28" s="17">
        <f t="shared" si="0"/>
      </c>
      <c r="J28" s="18"/>
      <c r="K28" s="19"/>
      <c r="L28" s="19"/>
      <c r="M28" s="13">
        <f t="shared" si="1"/>
      </c>
      <c r="N28" s="15"/>
      <c r="O28" s="6"/>
    </row>
    <row r="29" ht="15" customHeight="1" spans="1:15" x14ac:dyDescent="0.25">
      <c r="A29" s="13">
        <v>7</v>
      </c>
      <c r="B29" s="14"/>
      <c r="C29" s="14"/>
      <c r="D29" s="6"/>
      <c r="E29" s="15"/>
      <c r="F29" s="15"/>
      <c r="G29" s="15"/>
      <c r="H29" s="16"/>
      <c r="I29" s="17">
        <f t="shared" si="0"/>
      </c>
      <c r="J29" s="18"/>
      <c r="K29" s="19"/>
      <c r="L29" s="19"/>
      <c r="M29" s="13">
        <f t="shared" si="1"/>
      </c>
      <c r="N29" s="15"/>
      <c r="O29" s="6"/>
    </row>
    <row r="30" ht="15" customHeight="1" spans="1:15" x14ac:dyDescent="0.25">
      <c r="A30" s="13">
        <v>8</v>
      </c>
      <c r="B30" s="14"/>
      <c r="C30" s="14"/>
      <c r="D30" s="6"/>
      <c r="E30" s="15"/>
      <c r="F30" s="15"/>
      <c r="G30" s="15"/>
      <c r="H30" s="16"/>
      <c r="I30" s="17">
        <f t="shared" si="0"/>
      </c>
      <c r="J30" s="18"/>
      <c r="K30" s="19"/>
      <c r="L30" s="19"/>
      <c r="M30" s="13">
        <f t="shared" si="1"/>
      </c>
      <c r="N30" s="15"/>
      <c r="O30" s="6"/>
    </row>
    <row r="31" ht="15" customHeight="1" spans="1:15" x14ac:dyDescent="0.25">
      <c r="A31" s="13">
        <v>9</v>
      </c>
      <c r="B31" s="14"/>
      <c r="C31" s="14"/>
      <c r="D31" s="6"/>
      <c r="E31" s="15"/>
      <c r="F31" s="15"/>
      <c r="G31" s="15"/>
      <c r="H31" s="16"/>
      <c r="I31" s="17">
        <f t="shared" si="0"/>
      </c>
      <c r="J31" s="18"/>
      <c r="K31" s="19"/>
      <c r="L31" s="19"/>
      <c r="M31" s="13">
        <f t="shared" si="1"/>
      </c>
      <c r="N31" s="15"/>
      <c r="O31" s="6"/>
    </row>
    <row r="32" ht="15" customHeight="1" spans="1:15" x14ac:dyDescent="0.25">
      <c r="A32" s="13">
        <v>10</v>
      </c>
      <c r="B32" s="14"/>
      <c r="C32" s="14"/>
      <c r="D32" s="6"/>
      <c r="E32" s="15"/>
      <c r="F32" s="15"/>
      <c r="G32" s="15"/>
      <c r="H32" s="16"/>
      <c r="I32" s="17">
        <f t="shared" si="0"/>
      </c>
      <c r="J32" s="18"/>
      <c r="K32" s="19"/>
      <c r="L32" s="19"/>
      <c r="M32" s="13">
        <f t="shared" si="1"/>
      </c>
      <c r="N32" s="15"/>
      <c r="O32" s="6"/>
    </row>
    <row r="33" ht="15" customHeight="1" spans="1:9" x14ac:dyDescent="0.25">
      <c r="A33" s="20" t="s">
        <v>51</v>
      </c>
      <c r="B33" s="20"/>
      <c r="C33" s="20"/>
      <c r="D33" s="20"/>
      <c r="E33" s="20"/>
      <c r="F33" s="20"/>
      <c r="G33" s="20"/>
      <c r="H33" s="20"/>
      <c r="I33" s="21">
        <f>SUM(I23:I32)</f>
        <v>284730000</v>
      </c>
    </row>
    <row r="35" ht="15" customHeight="1" spans="1:15" x14ac:dyDescent="0.25">
      <c r="A35" s="22" t="s">
        <v>52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ht="25.5" customHeight="1" spans="1:15" x14ac:dyDescent="0.25">
      <c r="A36" s="2" t="s">
        <v>53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25.5" customHeight="1" spans="1:15" x14ac:dyDescent="0.25">
      <c r="A37" s="2" t="s">
        <v>54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25.5" customHeight="1" spans="1:15" x14ac:dyDescent="0.25">
      <c r="A38" s="2" t="s">
        <v>55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3.5" customHeight="1" spans="1:15" x14ac:dyDescent="0.25">
      <c r="A39" s="2" t="s">
        <v>56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25.5" customHeight="1" spans="1:15" x14ac:dyDescent="0.25">
      <c r="A40" s="2" t="s">
        <v>57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</sheetData>
  <mergeCells count="71">
    <mergeCell ref="A1:O1"/>
    <mergeCell ref="A2:O2"/>
    <mergeCell ref="A4:E4"/>
    <mergeCell ref="H4:L4"/>
    <mergeCell ref="A5:C5"/>
    <mergeCell ref="D5:E5"/>
    <mergeCell ref="H5:I5"/>
    <mergeCell ref="J5:L5"/>
    <mergeCell ref="A6:C6"/>
    <mergeCell ref="D6:E6"/>
    <mergeCell ref="H6:I6"/>
    <mergeCell ref="J6:L6"/>
    <mergeCell ref="A7:C7"/>
    <mergeCell ref="D7:E7"/>
    <mergeCell ref="H7:I7"/>
    <mergeCell ref="J7:L7"/>
    <mergeCell ref="A8:C8"/>
    <mergeCell ref="D8:E8"/>
    <mergeCell ref="H8:I8"/>
    <mergeCell ref="J8:L8"/>
    <mergeCell ref="A9:C9"/>
    <mergeCell ref="D9:E9"/>
    <mergeCell ref="H9:I9"/>
    <mergeCell ref="J9:L9"/>
    <mergeCell ref="A10:C10"/>
    <mergeCell ref="D10:E10"/>
    <mergeCell ref="H10:I10"/>
    <mergeCell ref="J10:L10"/>
    <mergeCell ref="A11:C11"/>
    <mergeCell ref="D11:E11"/>
    <mergeCell ref="H11:I11"/>
    <mergeCell ref="J11:L11"/>
    <mergeCell ref="A12:C12"/>
    <mergeCell ref="D12:E12"/>
    <mergeCell ref="H12:I12"/>
    <mergeCell ref="J12:L12"/>
    <mergeCell ref="A13:C13"/>
    <mergeCell ref="D13:E13"/>
    <mergeCell ref="H13:I13"/>
    <mergeCell ref="J13:L13"/>
    <mergeCell ref="A14:C14"/>
    <mergeCell ref="D14:E14"/>
    <mergeCell ref="H14:I14"/>
    <mergeCell ref="J14:L14"/>
    <mergeCell ref="A15:C15"/>
    <mergeCell ref="D15:E15"/>
    <mergeCell ref="H15:I15"/>
    <mergeCell ref="J15:L15"/>
    <mergeCell ref="A16:C16"/>
    <mergeCell ref="D16:E16"/>
    <mergeCell ref="A17:C17"/>
    <mergeCell ref="D17:E17"/>
    <mergeCell ref="H17:L17"/>
    <mergeCell ref="A18:C18"/>
    <mergeCell ref="D18:E18"/>
    <mergeCell ref="H18:I18"/>
    <mergeCell ref="J18:L18"/>
    <mergeCell ref="A19:C19"/>
    <mergeCell ref="D19:E19"/>
    <mergeCell ref="H19:I19"/>
    <mergeCell ref="J19:L19"/>
    <mergeCell ref="H20:I20"/>
    <mergeCell ref="J20:L20"/>
    <mergeCell ref="A21:O21"/>
    <mergeCell ref="A33:H33"/>
    <mergeCell ref="A35:O35"/>
    <mergeCell ref="A36:O36"/>
    <mergeCell ref="A37:O37"/>
    <mergeCell ref="A38:O38"/>
    <mergeCell ref="A39:O39"/>
    <mergeCell ref="A40:O40"/>
  </mergeCells>
  <dataValidations count="4">
    <dataValidation type="list" allowBlank="1" sqref="D10">
      <formula1>"Ya,Tidak"</formula1>
      <formula2>0</formula2>
    </dataValidation>
    <dataValidation type="list" allowBlank="1" sqref="D11">
      <formula1>"Full Delivery,Partial Delivery"</formula1>
      <formula2>0</formula2>
    </dataValidation>
    <dataValidation type="list" allowBlank="1" sqref="D9">
      <formula1>"Persediaan,Non Persediaan"</formula1>
      <formula2>0</formula2>
    </dataValidation>
    <dataValidation type="list" allowBlank="1" sqref="N23:N32">
      <formula1>"Diterima,Ditolak"</formula1>
      <formula2>0</formula2>
    </dataValidation>
  </dataValidations>
  <printOptions horizontalCentered="1"/>
  <pageMargins left="0.5" right="0.5" top="0.6" bottom="0.6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workbookViewId="0" showGridLines="0" zoomScale="100" zoomScaleNormal="100">
      <selection activeCell="L51" sqref="L51"/>
    </sheetView>
  </sheetViews>
  <sheetFormatPr defaultRowHeight="15" outlineLevelRow="0" outlineLevelCol="0" x14ac:dyDescent="0.25" defaultColWidth="8.5703125"/>
  <cols>
    <col min="1" max="1" width="5" customWidth="1"/>
    <col min="2" max="2" width="38" customWidth="1"/>
    <col min="3" max="3" width="11" customWidth="1"/>
    <col min="4" max="4" width="15" customWidth="1"/>
    <col min="5" max="5" width="18" customWidth="1"/>
    <col min="6" max="6" width="20" customWidth="1"/>
  </cols>
  <sheetData>
    <row r="1" ht="15" customHeight="1" spans="1:6" x14ac:dyDescent="0.25">
      <c r="A1" s="2" t="s">
        <v>58</v>
      </c>
      <c r="B1" s="2"/>
      <c r="C1" s="2"/>
      <c r="D1" s="2"/>
      <c r="E1" s="2"/>
      <c r="F1" s="2"/>
    </row>
    <row r="2" ht="19.5" customHeight="1" spans="1:6" x14ac:dyDescent="0.25">
      <c r="A2" s="23" t="s">
        <v>59</v>
      </c>
      <c r="B2" s="23"/>
      <c r="C2" s="24" t="s">
        <v>60</v>
      </c>
      <c r="D2" s="24"/>
      <c r="E2" s="24"/>
      <c r="F2" s="24"/>
    </row>
    <row r="3" ht="19.5" customHeight="1" spans="1:6" x14ac:dyDescent="0.25">
      <c r="A3" s="23"/>
      <c r="B3" s="23"/>
      <c r="C3" s="24"/>
      <c r="D3" s="24"/>
      <c r="E3" s="24"/>
      <c r="F3" s="24"/>
    </row>
    <row r="5" ht="15" customHeight="1" spans="1:6" x14ac:dyDescent="0.25">
      <c r="A5" s="10" t="s">
        <v>19</v>
      </c>
      <c r="B5" s="10"/>
      <c r="C5" s="25" t="str">
        <f>IF('Input Data'!$J$12="","",'Input Data'!$J$12)</f>
        <v>0041/BASTB/10/2026</v>
      </c>
      <c r="D5" s="25"/>
      <c r="E5" s="25"/>
      <c r="F5" s="25"/>
    </row>
    <row r="6" ht="15" customHeight="1" spans="1:6" x14ac:dyDescent="0.25">
      <c r="A6" s="10" t="s">
        <v>21</v>
      </c>
      <c r="B6" s="10"/>
      <c r="C6" s="26">
        <f>IF('Input Data'!$J$13="","",'Input Data'!$J$13)</f>
        <v>NaN</v>
      </c>
      <c r="D6" s="26"/>
      <c r="E6" s="26"/>
      <c r="F6" s="26"/>
    </row>
    <row r="7" ht="15" customHeight="1" spans="1:6" x14ac:dyDescent="0.25">
      <c r="A7" s="10" t="s">
        <v>61</v>
      </c>
      <c r="B7" s="10"/>
      <c r="C7" s="25" t="str">
        <f>IF('Input Data'!$D$6="","",'Input Data'!$D$6)</f>
        <v>4720000471</v>
      </c>
      <c r="D7" s="25"/>
      <c r="E7" s="25"/>
      <c r="F7" s="25"/>
    </row>
    <row r="8" ht="15" customHeight="1" spans="1:6" x14ac:dyDescent="0.25">
      <c r="A8" s="10" t="s">
        <v>8</v>
      </c>
      <c r="B8" s="10"/>
      <c r="C8" s="4" t="str">
        <f>IF('Input Data'!$D$7="","",'Input Data'!$D$7)</f>
        <v>2 (DUA) TAHUN</v>
      </c>
      <c r="D8" s="4"/>
      <c r="E8" s="4"/>
      <c r="F8" s="4"/>
    </row>
    <row r="9" ht="15" customHeight="1" spans="1:6" x14ac:dyDescent="0.25">
      <c r="A9" s="10" t="s">
        <v>62</v>
      </c>
      <c r="B9" s="10"/>
      <c r="C9" s="25" t="str">
        <f>IF('Input Data'!$D$5="","",'Input Data'!$D$5)</f>
        <v>4300096306</v>
      </c>
      <c r="D9" s="25"/>
      <c r="E9" s="25"/>
      <c r="F9" s="25"/>
    </row>
    <row r="10" ht="15" customHeight="1" spans="1:6" x14ac:dyDescent="0.25">
      <c r="A10" s="10" t="s">
        <v>22</v>
      </c>
      <c r="B10" s="10"/>
      <c r="C10" s="25" t="str">
        <f>IF('Input Data'!$D$14="","",'Input Data'!$D$14)</f>
        <v>02.827.099.9-216.000</v>
      </c>
      <c r="D10" s="25"/>
      <c r="E10" s="25"/>
      <c r="F10" s="25"/>
    </row>
    <row r="11" ht="15" customHeight="1" spans="1:6" x14ac:dyDescent="0.25">
      <c r="A11" s="10" t="s">
        <v>20</v>
      </c>
      <c r="B11" s="10"/>
      <c r="C11" s="4" t="str">
        <f>IF('Input Data'!$D$13="","",'Input Data'!$D$13)</f>
        <v>PT. INTI PERKASA TEKNIK</v>
      </c>
      <c r="D11" s="4"/>
      <c r="E11" s="4"/>
      <c r="F11" s="4"/>
    </row>
    <row r="12" ht="15" customHeight="1" spans="1:6" x14ac:dyDescent="0.25">
      <c r="A12" s="10" t="s">
        <v>24</v>
      </c>
      <c r="B12" s="10"/>
      <c r="C12" s="4" t="str">
        <f>IF('Input Data'!$D$15="","",'Input Data'!$D$15)</f>
        <v>iptek@indo.net.id</v>
      </c>
      <c r="D12" s="4"/>
      <c r="E12" s="4"/>
      <c r="F12" s="4"/>
    </row>
    <row r="13" ht="15" customHeight="1" spans="1:6" x14ac:dyDescent="0.25">
      <c r="A13" s="10" t="s">
        <v>26</v>
      </c>
      <c r="B13" s="10"/>
      <c r="C13" s="25" t="str">
        <f>IF('Input Data'!$D$16="","",'Input Data'!$D$16)</f>
        <v>0761-839853</v>
      </c>
      <c r="D13" s="25"/>
      <c r="E13" s="25"/>
      <c r="F13" s="25"/>
    </row>
    <row r="14" ht="15" customHeight="1" spans="1:6" x14ac:dyDescent="0.25">
      <c r="A14" s="10" t="s">
        <v>27</v>
      </c>
      <c r="B14" s="10"/>
      <c r="C14" s="4" t="str">
        <f>IF('Input Data'!$D$17="","",'Input Data'!$D$17)</f>
        <v>PT Pertamina EP Field Rantau</v>
      </c>
      <c r="D14" s="4"/>
      <c r="E14" s="4"/>
      <c r="F14" s="4"/>
    </row>
    <row r="15" ht="28.5" customHeight="1" spans="1:6" x14ac:dyDescent="0.25">
      <c r="A15" s="10" t="s">
        <v>63</v>
      </c>
      <c r="B15" s="10"/>
      <c r="C15" s="4" t="str">
        <f>IF('Input Data'!$J$5="","",'Input Data'!$J$5)</f>
        <v>PEMENUHAN MATERIAL CUP PACKER PT PERTAMINA EP ZONA 1 FIELD RANTAU REF OA 4720000471</v>
      </c>
      <c r="D15" s="4"/>
      <c r="E15" s="4"/>
      <c r="F15" s="4"/>
    </row>
    <row r="17" ht="15" customHeight="1" spans="1:6" x14ac:dyDescent="0.25">
      <c r="A17" s="27" t="s">
        <v>64</v>
      </c>
      <c r="B17" s="27"/>
      <c r="C17" s="27"/>
      <c r="D17" s="27"/>
      <c r="E17" s="27"/>
      <c r="F17" s="27"/>
    </row>
    <row r="18" ht="15" customHeight="1" spans="1:6" x14ac:dyDescent="0.25">
      <c r="A18" s="28" t="e">
        <f>"1. Pada tanggal "&amp;IF('Input Data'!$J$7="","[...]",DAY('Input Data'!$J$7)&amp;" "&amp;CHOOSE(MONTH('Input Data'!$J$7),"Januari","Februari","Maret","April","Mei","Juni","Juli","Agustus","September","Oktober","November","Desember")&amp;" "&amp;YEAR('Input Data'!$J$7))&amp;" telah dilakukan penyerahan pekerjaan sebagai berikut:"</f>
        <v>#VALUE!</v>
      </c>
      <c r="B18" s="28"/>
      <c r="C18" s="28"/>
      <c r="D18" s="28"/>
      <c r="E18" s="28"/>
      <c r="F18" s="28"/>
    </row>
    <row r="19" ht="18" customHeight="1" spans="1:6" x14ac:dyDescent="0.25">
      <c r="A19" s="29" t="s">
        <v>65</v>
      </c>
      <c r="B19" s="29" t="s">
        <v>66</v>
      </c>
      <c r="C19" s="29" t="s">
        <v>67</v>
      </c>
      <c r="D19" s="29" t="s">
        <v>68</v>
      </c>
      <c r="E19" s="29" t="s">
        <v>69</v>
      </c>
      <c r="F19" s="29" t="s">
        <v>70</v>
      </c>
    </row>
    <row r="20" ht="21.75" customHeight="1" spans="1:6" x14ac:dyDescent="0.25">
      <c r="A20" s="13">
        <f>IF('Input Data'!D23="","",'Input Data'!A23)</f>
        <v>1</v>
      </c>
      <c r="B20" s="4" t="str">
        <f>IF('Input Data'!D23="","",'Input Data'!D23)</f>
        <v>CUP PACKER, 7" X 2.7/8", 22-24#</v>
      </c>
      <c r="C20" s="13">
        <f>IF('Input Data'!G23="","",'Input Data'!G23)</f>
        <v>2</v>
      </c>
      <c r="D20" s="30" t="str">
        <f>IF('Input Data'!C23="","",'Input Data'!C23)</f>
        <v>B134900003</v>
      </c>
      <c r="E20" s="17">
        <f>IF('Input Data'!H23="","",'Input Data'!H23)</f>
        <v>65865000</v>
      </c>
      <c r="F20" s="17">
        <f t="shared" ref="F20:F29" si="0">IF(OR(C20="",E20=""),"",C20*E20)</f>
        <v>131730000</v>
      </c>
    </row>
    <row r="21" ht="21.75" customHeight="1" spans="1:6" x14ac:dyDescent="0.25">
      <c r="A21" s="13">
        <f>IF('Input Data'!D24="","",'Input Data'!A24)</f>
        <v>2</v>
      </c>
      <c r="B21" s="4" t="str">
        <f>IF('Input Data'!D24="","",'Input Data'!D24)</f>
        <v>PCKR,REDRESS KIT,CUP,7,J55,5000,300</v>
      </c>
      <c r="C21" s="13">
        <f>IF('Input Data'!G24="","",'Input Data'!G24)</f>
        <v>18</v>
      </c>
      <c r="D21" s="30" t="str">
        <f>IF('Input Data'!C24="","",'Input Data'!C24)</f>
        <v>Z66210004900</v>
      </c>
      <c r="E21" s="17">
        <f>IF('Input Data'!H24="","",'Input Data'!H24)</f>
        <v>8500000</v>
      </c>
      <c r="F21" s="17">
        <f t="shared" si="0"/>
        <v>153000000</v>
      </c>
    </row>
    <row r="22" ht="21.75" customHeight="1" spans="1:6" x14ac:dyDescent="0.25">
      <c r="A22" s="13">
        <f>IF('Input Data'!D25="","",'Input Data'!A25)</f>
      </c>
      <c r="B22" s="4">
        <f>IF('Input Data'!D25="","",'Input Data'!D25)</f>
      </c>
      <c r="C22" s="13">
        <f>IF('Input Data'!G25="","",'Input Data'!G25)</f>
      </c>
      <c r="D22" s="30">
        <f>IF('Input Data'!C25="","",'Input Data'!C25)</f>
      </c>
      <c r="E22" s="17">
        <f>IF('Input Data'!H25="","",'Input Data'!H25)</f>
      </c>
      <c r="F22" s="17">
        <f t="shared" si="0"/>
      </c>
    </row>
    <row r="23" ht="21.75" customHeight="1" spans="1:6" x14ac:dyDescent="0.25">
      <c r="A23" s="13">
        <f>IF('Input Data'!D26="","",'Input Data'!A26)</f>
      </c>
      <c r="B23" s="4">
        <f>IF('Input Data'!D26="","",'Input Data'!D26)</f>
      </c>
      <c r="C23" s="13">
        <f>IF('Input Data'!G26="","",'Input Data'!G26)</f>
      </c>
      <c r="D23" s="30">
        <f>IF('Input Data'!C26="","",'Input Data'!C26)</f>
      </c>
      <c r="E23" s="17">
        <f>IF('Input Data'!H26="","",'Input Data'!H26)</f>
      </c>
      <c r="F23" s="17">
        <f t="shared" si="0"/>
      </c>
    </row>
    <row r="24" ht="21.75" customHeight="1" spans="1:6" x14ac:dyDescent="0.25">
      <c r="A24" s="13">
        <f>IF('Input Data'!D27="","",'Input Data'!A27)</f>
      </c>
      <c r="B24" s="4">
        <f>IF('Input Data'!D27="","",'Input Data'!D27)</f>
      </c>
      <c r="C24" s="13">
        <f>IF('Input Data'!G27="","",'Input Data'!G27)</f>
      </c>
      <c r="D24" s="30">
        <f>IF('Input Data'!C27="","",'Input Data'!C27)</f>
      </c>
      <c r="E24" s="17">
        <f>IF('Input Data'!H27="","",'Input Data'!H27)</f>
      </c>
      <c r="F24" s="17">
        <f t="shared" si="0"/>
      </c>
    </row>
    <row r="25" ht="21.75" customHeight="1" spans="1:6" x14ac:dyDescent="0.25">
      <c r="A25" s="13">
        <f>IF('Input Data'!D28="","",'Input Data'!A28)</f>
      </c>
      <c r="B25" s="4">
        <f>IF('Input Data'!D28="","",'Input Data'!D28)</f>
      </c>
      <c r="C25" s="13">
        <f>IF('Input Data'!G28="","",'Input Data'!G28)</f>
      </c>
      <c r="D25" s="30">
        <f>IF('Input Data'!C28="","",'Input Data'!C28)</f>
      </c>
      <c r="E25" s="17">
        <f>IF('Input Data'!H28="","",'Input Data'!H28)</f>
      </c>
      <c r="F25" s="17">
        <f t="shared" si="0"/>
      </c>
    </row>
    <row r="26" ht="21.75" customHeight="1" spans="1:6" x14ac:dyDescent="0.25">
      <c r="A26" s="13">
        <f>IF('Input Data'!D29="","",'Input Data'!A29)</f>
      </c>
      <c r="B26" s="4">
        <f>IF('Input Data'!D29="","",'Input Data'!D29)</f>
      </c>
      <c r="C26" s="13">
        <f>IF('Input Data'!G29="","",'Input Data'!G29)</f>
      </c>
      <c r="D26" s="30">
        <f>IF('Input Data'!C29="","",'Input Data'!C29)</f>
      </c>
      <c r="E26" s="17">
        <f>IF('Input Data'!H29="","",'Input Data'!H29)</f>
      </c>
      <c r="F26" s="17">
        <f t="shared" si="0"/>
      </c>
    </row>
    <row r="27" ht="21.75" customHeight="1" spans="1:6" x14ac:dyDescent="0.25">
      <c r="A27" s="13">
        <f>IF('Input Data'!D30="","",'Input Data'!A30)</f>
      </c>
      <c r="B27" s="4">
        <f>IF('Input Data'!D30="","",'Input Data'!D30)</f>
      </c>
      <c r="C27" s="13">
        <f>IF('Input Data'!G30="","",'Input Data'!G30)</f>
      </c>
      <c r="D27" s="30">
        <f>IF('Input Data'!C30="","",'Input Data'!C30)</f>
      </c>
      <c r="E27" s="17">
        <f>IF('Input Data'!H30="","",'Input Data'!H30)</f>
      </c>
      <c r="F27" s="17">
        <f t="shared" si="0"/>
      </c>
    </row>
    <row r="28" ht="21.75" customHeight="1" spans="1:6" x14ac:dyDescent="0.25">
      <c r="A28" s="13">
        <f>IF('Input Data'!D31="","",'Input Data'!A31)</f>
      </c>
      <c r="B28" s="4">
        <f>IF('Input Data'!D31="","",'Input Data'!D31)</f>
      </c>
      <c r="C28" s="13">
        <f>IF('Input Data'!G31="","",'Input Data'!G31)</f>
      </c>
      <c r="D28" s="30">
        <f>IF('Input Data'!C31="","",'Input Data'!C31)</f>
      </c>
      <c r="E28" s="17">
        <f>IF('Input Data'!H31="","",'Input Data'!H31)</f>
      </c>
      <c r="F28" s="17">
        <f t="shared" si="0"/>
      </c>
    </row>
    <row r="29" ht="15" customHeight="1" spans="1:6" x14ac:dyDescent="0.25">
      <c r="A29" s="13">
        <f>IF('Input Data'!D32="","",'Input Data'!A32)</f>
      </c>
      <c r="B29" s="4">
        <f>IF('Input Data'!D32="","",'Input Data'!D32)</f>
      </c>
      <c r="C29" s="13">
        <f>IF('Input Data'!G32="","",'Input Data'!G32)</f>
      </c>
      <c r="D29" s="30">
        <f>IF('Input Data'!C32="","",'Input Data'!C32)</f>
      </c>
      <c r="E29" s="17">
        <f>IF('Input Data'!H32="","",'Input Data'!H32)</f>
      </c>
      <c r="F29" s="17">
        <f t="shared" si="0"/>
      </c>
    </row>
    <row r="30" ht="15" customHeight="1" spans="1:6" x14ac:dyDescent="0.25">
      <c r="A30" s="20" t="s">
        <v>51</v>
      </c>
      <c r="B30" s="20"/>
      <c r="C30" s="20"/>
      <c r="D30" s="20"/>
      <c r="E30" s="20"/>
      <c r="F30" s="21">
        <f>SUM(F20:F29)</f>
        <v>284730000</v>
      </c>
    </row>
    <row r="31" ht="27" customHeight="1" spans="1:6" x14ac:dyDescent="0.25">
      <c r="A31" s="31" t="str">
        <f>"Dimana jumlah barang tersebut telah sesuai dengan persyaratan yang ada pada Release Order (RO) dan/atau Purchase Order (PO) No. "&amp;IF($C$9="","________",$C$9)</f>
        <v>Dimana jumlah barang tersebut telah sesuai dengan persyaratan yang ada pada Release Order (RO) dan/atau Purchase Order (PO) No. 4300096306</v>
      </c>
      <c r="B31" s="31"/>
      <c r="C31" s="31"/>
      <c r="D31" s="31"/>
      <c r="E31" s="31"/>
      <c r="F31" s="31"/>
    </row>
    <row r="32" ht="38.25" customHeight="1" spans="1:6" x14ac:dyDescent="0.25">
      <c r="A32" s="31" t="e">
        <f>"2. Telah dilakukan pemeriksaan di Warehouse "&amp;IF('Input Data'!$J$6="","________",'Input Data'!$J$6)&amp;" pada tanggal "&amp;IF('Input Data'!$J$8="","[...]",DAY('Input Data'!$J$8)&amp;" "&amp;CHOOSE(MONTH('Input Data'!$J$8),"Januari","Februari","Maret","April","Mei","Juni","Juli","Agustus","September","Oktober","November","Desember")&amp;" "&amp;YEAR('Input Data'!$J$8))&amp;", dimana dinyatakan bahwa barang tersebut telah diserahterimakan dalam kondisi sesuai dengan persyaratan yang ada pada Release Order (RO) dan/atau Purchase Order (PO) No. "&amp;IF($C$9="","________",$C$9)&amp;"."</f>
        <v>#VALUE!</v>
      </c>
      <c r="B32" s="31"/>
      <c r="C32" s="31"/>
      <c r="D32" s="31"/>
      <c r="E32" s="31"/>
      <c r="F32" s="31"/>
    </row>
    <row r="33" ht="38.25" customHeight="1" spans="1:6" x14ac:dyDescent="0.25">
      <c r="A33" s="31" t="str">
        <f>"3. Berdasarkan tanggal penyerahan yang dinyatakan di poin 1 diatas, kami menyatakan penyerahan barang tersebut "&amp;IF('Input Data'!$J$19="","terlambat/tidak terlambat",'Input Data'!$J$19)&amp;" dengan persyaratan yang ada pada Release Order (RO) dan/atau Purchase Order (PO) No. "&amp;IF($C$9="","________",$C$9)&amp;". Dengan didukung oleh dokumen pendukung pelaksanaan pekerjaan sebagaimana disyaratkan dalam kontrak."</f>
        <v>3. Berdasarkan tanggal penyerahan yang dinyatakan di poin 1 diatas, kami menyatakan penyerahan barang tersebut terlambat/tidak terlambat dengan persyaratan yang ada pada Release Order (RO) dan/atau Purchase Order (PO) No. 4300096306. Dengan didukung oleh dokumen pendukung pelaksanaan pekerjaan sebagaimana disyaratkan dalam kontrak.</v>
      </c>
      <c r="B33" s="31"/>
      <c r="C33" s="31"/>
      <c r="D33" s="31"/>
      <c r="E33" s="31"/>
      <c r="F33" s="31"/>
    </row>
    <row r="34" ht="27" customHeight="1" spans="1:6" x14ac:dyDescent="0.25">
      <c r="A34" s="31" t="str">
        <f>"4. Dengan menandatangani BAST ini, maka "&amp;IF($C$11="","Vendor",$C$11)&amp;" dan "&amp;IF($C$14="","PT Pertamina ____",$C$14)&amp;" menyatakan bahwa:"</f>
        <v>4. Dengan menandatangani BAST ini, maka PT. INTI PERKASA TEKNIK dan PT Pertamina EP Field Rantau menyatakan bahwa:</v>
      </c>
      <c r="B34" s="31"/>
      <c r="C34" s="31"/>
      <c r="D34" s="31"/>
      <c r="E34" s="31"/>
      <c r="F34" s="31"/>
    </row>
    <row r="35" ht="38.25" customHeight="1" spans="1:6" x14ac:dyDescent="0.25">
      <c r="A35" s="32" t="str">
        <f>"a. Dokumen ini menjadi acuan utama bagi "&amp;IF($C$11="","Vendor",$C$11)&amp;" dalam melakukan penagihan kepada "&amp;IF($C$14="","PT Pertamina ____",$C$14)&amp;" dan diakui oleh masing-masing pihak keabsahannya tanpa memerlukan tandatangan basah di dokumen ini oleh masing-masing pihak."</f>
        <v>a. Dokumen ini menjadi acuan utama bagi PT. INTI PERKASA TEKNIK dalam melakukan penagihan kepada PT Pertamina EP Field Rantau dan diakui oleh masing-masing pihak keabsahannya tanpa memerlukan tandatangan basah di dokumen ini oleh masing-masing pihak.</v>
      </c>
      <c r="B35" s="32"/>
      <c r="C35" s="32"/>
      <c r="D35" s="32"/>
      <c r="E35" s="32"/>
      <c r="F35" s="32"/>
    </row>
    <row r="36" ht="27" customHeight="1" spans="1:6" x14ac:dyDescent="0.25">
      <c r="A36" s="32" t="str">
        <f>"b. Segala kewajiban "&amp;IF($C$11="","Vendor",$C$11)&amp;" atas pekerjaan dengan nomor PO "&amp;IF($C$9="","________",$C$9)&amp;", BAST sudah selesai dilakukan sepenuhnya dan diterima baik oleh "&amp;IF($C$14="","PT Pertamina ____",$C$14)&amp;"."</f>
        <v>b. Segala kewajiban PT. INTI PERKASA TEKNIK atas pekerjaan dengan nomor PO 4300096306, BAST sudah selesai dilakukan sepenuhnya dan diterima baik oleh PT Pertamina EP Field Rantau.</v>
      </c>
      <c r="B36" s="32"/>
      <c r="C36" s="32"/>
      <c r="D36" s="32"/>
      <c r="E36" s="32"/>
      <c r="F36" s="32"/>
    </row>
    <row r="37" ht="27" customHeight="1" spans="1:6" x14ac:dyDescent="0.25">
      <c r="A37" s="32" t="str">
        <f>"c. "&amp;IF($C$11="","Vendor",$C$11)&amp;" selaku Penyedia Barang/Jasa telah menyampaikan seluruh dokumen pendukung terkait pelaksanaan pekerjaan sebagaimana dipersyaratkan dalam kontrak."</f>
        <v>c. PT. INTI PERKASA TEKNIK selaku Penyedia Barang/Jasa telah menyampaikan seluruh dokumen pendukung terkait pelaksanaan pekerjaan sebagaimana dipersyaratkan dalam kontrak.</v>
      </c>
      <c r="B37" s="32"/>
      <c r="C37" s="32"/>
      <c r="D37" s="32"/>
      <c r="E37" s="32"/>
      <c r="F37" s="32"/>
    </row>
    <row r="38" ht="27" customHeight="1" spans="1:6" x14ac:dyDescent="0.25">
      <c r="A38" s="32" t="str">
        <f>"d. "&amp;IF($C$14="","PT Pertamina ____",$C$14)&amp;" telah melakukan pemeriksaan atas seluruh dokumen pendukung yang telah disampaikan oleh "&amp;IF($C$11="","Vendor",$C$11)&amp;"."</f>
        <v>d. PT Pertamina EP Field Rantau telah melakukan pemeriksaan atas seluruh dokumen pendukung yang telah disampaikan oleh PT. INTI PERKASA TEKNIK.</v>
      </c>
      <c r="B38" s="32"/>
      <c r="C38" s="32"/>
      <c r="D38" s="32"/>
      <c r="E38" s="32"/>
      <c r="F38" s="32"/>
    </row>
    <row r="39" ht="27" customHeight="1" spans="1:6" x14ac:dyDescent="0.25">
      <c r="A39" s="32" t="str">
        <f>"e. Dokumen Berita Acara ini menjadi salah satu dasar pembayaran tagihan Penyedia Barang/Jasa oleh "&amp;IF($C$14="","PT Pertamina ____",$C$14)&amp;"."</f>
        <v>e. Dokumen Berita Acara ini menjadi salah satu dasar pembayaran tagihan Penyedia Barang/Jasa oleh PT Pertamina EP Field Rantau.</v>
      </c>
      <c r="B39" s="32"/>
      <c r="C39" s="32"/>
      <c r="D39" s="32"/>
      <c r="E39" s="32"/>
      <c r="F39" s="32"/>
    </row>
    <row r="41" spans="1:6" x14ac:dyDescent="0.25">
      <c r="A41" s="20" t="str">
        <f>IF($C$14="","PT Pertamina ____",$C$14)</f>
        <v>PT Pertamina EP Field Rantau</v>
      </c>
      <c r="B41" s="20"/>
      <c r="C41" s="20"/>
      <c r="D41" s="20" t="str">
        <f>IF($C$11="","Vendor",$C$11)</f>
        <v>PT. INTI PERKASA TEKNIK</v>
      </c>
      <c r="E41" s="20"/>
      <c r="F41" s="20"/>
    </row>
    <row r="42" ht="13.5" customHeight="1" spans="1:6" x14ac:dyDescent="0.25">
      <c r="A42" s="4"/>
      <c r="B42" s="4"/>
      <c r="C42" s="4"/>
      <c r="D42" s="4"/>
      <c r="E42" s="4"/>
      <c r="F42" s="4"/>
    </row>
    <row r="43" ht="13.5" customHeight="1" spans="1:6" x14ac:dyDescent="0.25">
      <c r="A43" s="4"/>
      <c r="B43" s="4"/>
      <c r="C43" s="4"/>
      <c r="D43" s="4"/>
      <c r="E43" s="4"/>
      <c r="F43" s="4"/>
    </row>
    <row r="44" ht="13.5" customHeight="1" spans="1:6" x14ac:dyDescent="0.25">
      <c r="A44" s="4"/>
      <c r="B44" s="4"/>
      <c r="C44" s="4"/>
      <c r="D44" s="4"/>
      <c r="E44" s="4"/>
      <c r="F44" s="4"/>
    </row>
    <row r="45" ht="13.5" customHeight="1" spans="1:6" x14ac:dyDescent="0.25">
      <c r="A45" s="4"/>
      <c r="B45" s="4"/>
      <c r="C45" s="4"/>
      <c r="D45" s="4"/>
      <c r="E45" s="4"/>
      <c r="F45" s="4"/>
    </row>
    <row r="46" ht="13.5" customHeight="1" spans="1:6" x14ac:dyDescent="0.25">
      <c r="A46" s="4"/>
      <c r="B46" s="4"/>
      <c r="C46" s="4"/>
      <c r="D46" s="4"/>
      <c r="E46" s="4"/>
      <c r="F46" s="4"/>
    </row>
    <row r="47" spans="1:6" x14ac:dyDescent="0.25">
      <c r="A47" s="33"/>
      <c r="B47" s="33"/>
      <c r="C47" s="33"/>
      <c r="D47" s="33"/>
      <c r="E47" s="33"/>
      <c r="F47" s="33"/>
    </row>
    <row r="48" spans="1:6" x14ac:dyDescent="0.25">
      <c r="A48" s="15"/>
      <c r="B48" s="15"/>
      <c r="C48" s="15"/>
      <c r="D48" s="15"/>
      <c r="E48" s="15"/>
      <c r="F48" s="15"/>
    </row>
    <row r="50" ht="15" customHeight="1" spans="1:6" x14ac:dyDescent="0.25">
      <c r="A50" s="22" t="s">
        <v>52</v>
      </c>
      <c r="B50" s="22"/>
      <c r="C50" s="22"/>
      <c r="D50" s="22"/>
      <c r="E50" s="22"/>
      <c r="F50" s="22"/>
    </row>
    <row r="51" ht="25.5" customHeight="1" spans="1:6" x14ac:dyDescent="0.25">
      <c r="A51" s="2" t="s">
        <v>71</v>
      </c>
      <c r="B51" s="2"/>
      <c r="C51" s="2"/>
      <c r="D51" s="2"/>
      <c r="E51" s="2"/>
      <c r="F51" s="2"/>
    </row>
    <row r="52" ht="25.5" customHeight="1" spans="1:6" x14ac:dyDescent="0.25">
      <c r="A52" s="2" t="s">
        <v>72</v>
      </c>
      <c r="B52" s="2"/>
      <c r="C52" s="2"/>
      <c r="D52" s="2"/>
      <c r="E52" s="2"/>
      <c r="F52" s="2"/>
    </row>
    <row r="53" ht="25.5" customHeight="1" spans="1:6" x14ac:dyDescent="0.25">
      <c r="A53" s="2" t="s">
        <v>73</v>
      </c>
      <c r="B53" s="2"/>
      <c r="C53" s="2"/>
      <c r="D53" s="2"/>
      <c r="E53" s="2"/>
      <c r="F53" s="2"/>
    </row>
  </sheetData>
  <mergeCells count="49">
    <mergeCell ref="A1:F1"/>
    <mergeCell ref="A2:B3"/>
    <mergeCell ref="C2:F3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7:F17"/>
    <mergeCell ref="A18:F18"/>
    <mergeCell ref="A30:E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1:C41"/>
    <mergeCell ref="D41:F41"/>
    <mergeCell ref="A42:C46"/>
    <mergeCell ref="D42:F46"/>
    <mergeCell ref="A47:C47"/>
    <mergeCell ref="D47:F47"/>
    <mergeCell ref="A48:C48"/>
    <mergeCell ref="D48:F48"/>
    <mergeCell ref="A50:F50"/>
    <mergeCell ref="A51:F51"/>
    <mergeCell ref="A52:F52"/>
    <mergeCell ref="A53:F53"/>
  </mergeCells>
  <printOptions horizontalCentered="1"/>
  <pageMargins left="0.5" right="0.5" top="0.6" bottom="0.6" header="0.511811023622047" footer="0.511811023622047"/>
  <pageSetup paperSize="9" orientation="portrait" horizontalDpi="300" verticalDpi="300" scale="83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7"/>
  <sheetViews>
    <sheetView workbookViewId="0" showGridLines="0" zoomScale="100" zoomScaleNormal="100">
      <selection activeCell="P69" sqref="P69"/>
    </sheetView>
  </sheetViews>
  <sheetFormatPr defaultRowHeight="15" outlineLevelRow="0" outlineLevelCol="0" x14ac:dyDescent="0.25" defaultColWidth="8.5703125"/>
  <cols>
    <col min="1" max="1" width="5" customWidth="1"/>
    <col min="2" max="2" width="16" customWidth="1"/>
    <col min="3" max="3" width="28" customWidth="1"/>
    <col min="8" max="8" width="15" customWidth="1"/>
    <col min="9" max="9" width="11" customWidth="1"/>
    <col min="10" max="10" width="22" customWidth="1"/>
  </cols>
  <sheetData>
    <row r="1" ht="15" customHeight="1" spans="1:10" x14ac:dyDescent="0.25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</row>
    <row r="2" ht="19.5" customHeight="1" spans="1:10" x14ac:dyDescent="0.25">
      <c r="A2" s="23" t="s">
        <v>59</v>
      </c>
      <c r="B2" s="23"/>
      <c r="C2" s="23"/>
      <c r="D2" s="24" t="s">
        <v>75</v>
      </c>
      <c r="E2" s="24"/>
      <c r="F2" s="24"/>
      <c r="G2" s="24"/>
      <c r="H2" s="24"/>
      <c r="I2" s="24"/>
      <c r="J2" s="24"/>
    </row>
    <row r="3" ht="19.5" customHeight="1" spans="1:10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</row>
    <row r="5" ht="15" customHeight="1" spans="1:10" x14ac:dyDescent="0.25">
      <c r="A5" s="4" t="s">
        <v>76</v>
      </c>
      <c r="B5" s="4"/>
      <c r="C5" s="4"/>
      <c r="D5" s="25" t="str">
        <f>IF('Input Data'!$J$14="","",'Input Data'!$J$14)</f>
        <v>0041/LHPB/10/2026</v>
      </c>
      <c r="E5" s="25"/>
      <c r="F5" s="25"/>
      <c r="G5" s="25"/>
      <c r="H5" s="25"/>
      <c r="I5" s="25"/>
      <c r="J5" s="25"/>
    </row>
    <row r="6" ht="15" customHeight="1" spans="1:10" x14ac:dyDescent="0.25">
      <c r="A6" s="4" t="s">
        <v>11</v>
      </c>
      <c r="B6" s="4"/>
      <c r="C6" s="4"/>
      <c r="D6" s="34">
        <f>IF('Input Data'!$J$8="","",'Input Data'!$J$8)</f>
        <v>NaN</v>
      </c>
      <c r="E6" s="34"/>
      <c r="F6" s="34"/>
      <c r="G6" s="34"/>
      <c r="H6" s="34"/>
      <c r="I6" s="34"/>
      <c r="J6" s="34"/>
    </row>
    <row r="7" ht="15" customHeight="1" spans="1:10" x14ac:dyDescent="0.25">
      <c r="A7" s="4" t="s">
        <v>77</v>
      </c>
      <c r="B7" s="4"/>
      <c r="C7" s="4"/>
      <c r="D7" s="4" t="str">
        <f>IF('Input Data'!$J$6="","",'Input Data'!$J$6)</f>
        <v> Warehouse Field Rantau</v>
      </c>
      <c r="E7" s="4"/>
      <c r="F7" s="4"/>
      <c r="G7" s="4"/>
      <c r="H7" s="4"/>
      <c r="I7" s="4"/>
      <c r="J7" s="4"/>
    </row>
    <row r="8" ht="15" customHeight="1" spans="1:10" x14ac:dyDescent="0.25">
      <c r="A8" s="4" t="s">
        <v>13</v>
      </c>
      <c r="B8" s="4"/>
      <c r="C8" s="4"/>
      <c r="D8" s="4" t="str">
        <f>IF('Input Data'!$J$9="","",'Input Data'!$J$9)</f>
        <v>Officer SCM Support &amp; Receiving Rantau</v>
      </c>
      <c r="E8" s="4"/>
      <c r="F8" s="4"/>
      <c r="G8" s="4"/>
      <c r="H8" s="4"/>
      <c r="I8" s="4"/>
      <c r="J8" s="4"/>
    </row>
    <row r="9" ht="15" customHeight="1" spans="1:10" x14ac:dyDescent="0.25">
      <c r="A9" s="4" t="s">
        <v>78</v>
      </c>
      <c r="B9" s="4"/>
      <c r="C9" s="4"/>
      <c r="D9" s="4" t="str">
        <f>IF('Input Data'!$J$5="","",'Input Data'!$J$5)</f>
        <v>PEMENUHAN MATERIAL CUP PACKER PT PERTAMINA EP ZONA 1 FIELD RANTAU REF OA 4720000471</v>
      </c>
      <c r="E9" s="4"/>
      <c r="F9" s="4"/>
      <c r="G9" s="4"/>
      <c r="H9" s="4"/>
      <c r="I9" s="4"/>
      <c r="J9" s="4"/>
    </row>
    <row r="10" ht="15" customHeight="1" spans="1:10" x14ac:dyDescent="0.25">
      <c r="A10" s="4" t="s">
        <v>79</v>
      </c>
      <c r="B10" s="4"/>
      <c r="C10" s="4"/>
      <c r="D10" s="4" t="str">
        <f>IF('Input Data'!$J$18="","",'Input Data'!$J$18&amp;" item")</f>
        <v>2 item</v>
      </c>
      <c r="E10" s="4"/>
      <c r="F10" s="4"/>
      <c r="G10" s="4"/>
      <c r="H10" s="4"/>
      <c r="I10" s="4"/>
      <c r="J10" s="4"/>
    </row>
    <row r="12" ht="15" customHeight="1" spans="1:3" x14ac:dyDescent="0.25">
      <c r="A12" s="35" t="s">
        <v>80</v>
      </c>
      <c r="B12" s="35"/>
      <c r="C12" s="35"/>
    </row>
    <row r="13" ht="15" customHeight="1" spans="1:10" x14ac:dyDescent="0.25">
      <c r="A13" s="4" t="s">
        <v>4</v>
      </c>
      <c r="B13" s="4"/>
      <c r="C13" s="4"/>
      <c r="D13" s="25" t="str">
        <f>IF('Input Data'!$D$5="","",'Input Data'!$D$5)</f>
        <v>4300096306</v>
      </c>
      <c r="E13" s="25"/>
      <c r="F13" s="25"/>
      <c r="G13" s="25"/>
      <c r="H13" s="25"/>
      <c r="I13" s="25"/>
      <c r="J13" s="25"/>
    </row>
    <row r="14" ht="15" customHeight="1" spans="1:10" x14ac:dyDescent="0.25">
      <c r="A14" s="4" t="s">
        <v>81</v>
      </c>
      <c r="B14" s="4"/>
      <c r="C14" s="4"/>
      <c r="D14" s="25" t="str">
        <f>IF('Input Data'!$D$6="","",'Input Data'!$D$6)</f>
        <v>4720000471</v>
      </c>
      <c r="E14" s="25"/>
      <c r="F14" s="25"/>
      <c r="G14" s="25"/>
      <c r="H14" s="25"/>
      <c r="I14" s="25"/>
      <c r="J14" s="25"/>
    </row>
    <row r="15" ht="15" customHeight="1" spans="1:10" x14ac:dyDescent="0.25">
      <c r="A15" s="4" t="s">
        <v>82</v>
      </c>
      <c r="B15" s="4"/>
      <c r="C15" s="4"/>
      <c r="D15" s="34">
        <f>IF('Input Data'!$D$8="","",'Input Data'!$D$8)</f>
        <v>NaN</v>
      </c>
      <c r="E15" s="34"/>
      <c r="F15" s="34"/>
      <c r="G15" s="34"/>
      <c r="H15" s="34"/>
      <c r="I15" s="34"/>
      <c r="J15" s="34"/>
    </row>
    <row r="16" ht="15.75" customHeight="1" spans="1:10" x14ac:dyDescent="0.25">
      <c r="A16" s="28" t="s">
        <v>83</v>
      </c>
      <c r="B16" s="28"/>
      <c r="C16" s="28"/>
      <c r="D16" s="36">
        <f>IF('Input Data'!$D$9="Persediaan","✓","")</f>
      </c>
      <c r="E16" s="37" t="s">
        <v>84</v>
      </c>
      <c r="F16" s="37"/>
      <c r="G16" s="36" t="str">
        <f>IF('Input Data'!$D$9="Non Persediaan","✓","")</f>
        <v>✓</v>
      </c>
      <c r="H16" s="37" t="s">
        <v>85</v>
      </c>
      <c r="I16" s="36" t="str">
        <f>IF('Input Data'!$D$10="Ya","✓","")</f>
        <v>✓</v>
      </c>
      <c r="J16" s="37" t="s">
        <v>86</v>
      </c>
    </row>
    <row r="17" ht="15.75" customHeight="1" spans="1:8" x14ac:dyDescent="0.25">
      <c r="A17" s="28" t="s">
        <v>87</v>
      </c>
      <c r="B17" s="28"/>
      <c r="C17" s="28"/>
      <c r="D17" s="36">
        <f>IF('Input Data'!$D$11="Full Delivery","✓","")</f>
      </c>
      <c r="E17" s="37" t="s">
        <v>88</v>
      </c>
      <c r="F17" s="37"/>
      <c r="G17" s="36" t="str">
        <f>IF('Input Data'!$D$11="Partial Delivery","✓","")</f>
        <v>✓</v>
      </c>
      <c r="H17" s="37" t="s">
        <v>89</v>
      </c>
    </row>
    <row r="21" ht="15" customHeight="1" spans="1:10" x14ac:dyDescent="0.25">
      <c r="A21" s="29" t="s">
        <v>36</v>
      </c>
      <c r="B21" s="29" t="s">
        <v>90</v>
      </c>
      <c r="C21" s="29" t="s">
        <v>39</v>
      </c>
      <c r="D21" s="29" t="s">
        <v>41</v>
      </c>
      <c r="E21" s="29" t="s">
        <v>40</v>
      </c>
      <c r="F21" s="29" t="s">
        <v>42</v>
      </c>
      <c r="G21" s="29" t="s">
        <v>45</v>
      </c>
      <c r="H21" s="29" t="s">
        <v>91</v>
      </c>
      <c r="I21" s="29"/>
      <c r="J21" s="29" t="s">
        <v>50</v>
      </c>
    </row>
    <row r="22" spans="1:10" x14ac:dyDescent="0.25">
      <c r="A22" s="29"/>
      <c r="B22" s="29"/>
      <c r="C22" s="29"/>
      <c r="D22" s="29"/>
      <c r="E22" s="29"/>
      <c r="F22" s="29"/>
      <c r="G22" s="29"/>
      <c r="H22" s="29" t="s">
        <v>92</v>
      </c>
      <c r="I22" s="29" t="s">
        <v>93</v>
      </c>
      <c r="J22" s="29"/>
    </row>
    <row r="23" ht="19.5" customHeight="1" spans="1:10" x14ac:dyDescent="0.25">
      <c r="A23" s="13">
        <f>IF('Input Data'!D23="","",'Input Data'!A23)</f>
        <v>1</v>
      </c>
      <c r="B23" s="30" t="str">
        <f>IF('Input Data'!C23="","",'Input Data'!C23)</f>
        <v>B134900003</v>
      </c>
      <c r="C23" s="4" t="str">
        <f>IF('Input Data'!D23="","",'Input Data'!D23)</f>
        <v>CUP PACKER, 7" X 2.7/8", 22-24#</v>
      </c>
      <c r="D23" s="13">
        <f>IF('Input Data'!F23="","",'Input Data'!F23)</f>
        <v>2</v>
      </c>
      <c r="E23" s="13" t="str">
        <f>IF('Input Data'!E23="","",'Input Data'!E23)</f>
        <v>PCS</v>
      </c>
      <c r="F23" s="13">
        <f>IF('Input Data'!G23="","",'Input Data'!G23)</f>
        <v>2</v>
      </c>
      <c r="G23" s="38" t="str">
        <f>IF('Input Data'!J23="","",'Input Data'!J23)</f>
        <v>55,41%</v>
      </c>
      <c r="H23" s="36" t="str">
        <f>IF('Input Data'!N23="Diterima","✓","")</f>
        <v>✓</v>
      </c>
      <c r="I23" s="36">
        <f>IF('Input Data'!N23="Ditolak","✓","")</f>
      </c>
      <c r="J23" s="4">
        <f>IF('Input Data'!O23="","",'Input Data'!O23)</f>
      </c>
    </row>
    <row r="24" ht="25.5" customHeight="1" spans="1:10" x14ac:dyDescent="0.25">
      <c r="A24" s="13">
        <f>IF('Input Data'!D24="","",'Input Data'!A24)</f>
        <v>2</v>
      </c>
      <c r="B24" s="30" t="str">
        <f>IF('Input Data'!C24="","",'Input Data'!C24)</f>
        <v>Z66210004900</v>
      </c>
      <c r="C24" s="4" t="str">
        <f>IF('Input Data'!D24="","",'Input Data'!D24)</f>
        <v>PCKR,REDRESS KIT,CUP,7,J55,5000,300</v>
      </c>
      <c r="D24" s="13">
        <f>IF('Input Data'!F24="","",'Input Data'!F24)</f>
        <v>18</v>
      </c>
      <c r="E24" s="13" t="str">
        <f>IF('Input Data'!E24="","",'Input Data'!E24)</f>
        <v>PCS</v>
      </c>
      <c r="F24" s="13">
        <f>IF('Input Data'!G24="","",'Input Data'!G24)</f>
        <v>18</v>
      </c>
      <c r="G24" s="38" t="str">
        <f>IF('Input Data'!J24="","",'Input Data'!J24)</f>
        <v>55,41%</v>
      </c>
      <c r="H24" s="36" t="str">
        <f>IF('Input Data'!N24="Diterima","✓","")</f>
        <v>✓</v>
      </c>
      <c r="I24" s="36">
        <f>IF('Input Data'!N24="Ditolak","✓","")</f>
      </c>
      <c r="J24" s="4">
        <f>IF('Input Data'!O24="","",'Input Data'!O24)</f>
      </c>
    </row>
    <row r="25" ht="15" customHeight="1" spans="1:10" x14ac:dyDescent="0.25">
      <c r="A25" s="13">
        <f>IF('Input Data'!D25="","",'Input Data'!A25)</f>
      </c>
      <c r="B25" s="30">
        <f>IF('Input Data'!C25="","",'Input Data'!C25)</f>
      </c>
      <c r="C25" s="4">
        <f>IF('Input Data'!D25="","",'Input Data'!D25)</f>
      </c>
      <c r="D25" s="13">
        <f>IF('Input Data'!F25="","",'Input Data'!F25)</f>
      </c>
      <c r="E25" s="13">
        <f>IF('Input Data'!E25="","",'Input Data'!E25)</f>
      </c>
      <c r="F25" s="13">
        <f>IF('Input Data'!G25="","",'Input Data'!G25)</f>
      </c>
      <c r="G25" s="38">
        <f>IF('Input Data'!J25="","",'Input Data'!J25)</f>
      </c>
      <c r="H25" s="36">
        <f>IF('Input Data'!N25="Diterima","✓","")</f>
      </c>
      <c r="I25" s="36">
        <f>IF('Input Data'!N25="Ditolak","✓","")</f>
      </c>
      <c r="J25" s="4">
        <f>IF('Input Data'!O25="","",'Input Data'!O25)</f>
      </c>
    </row>
    <row r="26" ht="15" customHeight="1" spans="1:10" x14ac:dyDescent="0.25">
      <c r="A26" s="13">
        <f>IF('Input Data'!D26="","",'Input Data'!A26)</f>
      </c>
      <c r="B26" s="30">
        <f>IF('Input Data'!C26="","",'Input Data'!C26)</f>
      </c>
      <c r="C26" s="4">
        <f>IF('Input Data'!D26="","",'Input Data'!D26)</f>
      </c>
      <c r="D26" s="13">
        <f>IF('Input Data'!F26="","",'Input Data'!F26)</f>
      </c>
      <c r="E26" s="13">
        <f>IF('Input Data'!E26="","",'Input Data'!E26)</f>
      </c>
      <c r="F26" s="13">
        <f>IF('Input Data'!G26="","",'Input Data'!G26)</f>
      </c>
      <c r="G26" s="38">
        <f>IF('Input Data'!J26="","",'Input Data'!J26)</f>
      </c>
      <c r="H26" s="36">
        <f>IF('Input Data'!N26="Diterima","✓","")</f>
      </c>
      <c r="I26" s="36">
        <f>IF('Input Data'!N26="Ditolak","✓","")</f>
      </c>
      <c r="J26" s="4">
        <f>IF('Input Data'!O26="","",'Input Data'!O26)</f>
      </c>
    </row>
    <row r="27" ht="15" customHeight="1" spans="1:10" x14ac:dyDescent="0.25">
      <c r="A27" s="13">
        <f>IF('Input Data'!D27="","",'Input Data'!A27)</f>
      </c>
      <c r="B27" s="30">
        <f>IF('Input Data'!C27="","",'Input Data'!C27)</f>
      </c>
      <c r="C27" s="4">
        <f>IF('Input Data'!D27="","",'Input Data'!D27)</f>
      </c>
      <c r="D27" s="13">
        <f>IF('Input Data'!F27="","",'Input Data'!F27)</f>
      </c>
      <c r="E27" s="13">
        <f>IF('Input Data'!E27="","",'Input Data'!E27)</f>
      </c>
      <c r="F27" s="13">
        <f>IF('Input Data'!G27="","",'Input Data'!G27)</f>
      </c>
      <c r="G27" s="38">
        <f>IF('Input Data'!J27="","",'Input Data'!J27)</f>
      </c>
      <c r="H27" s="36">
        <f>IF('Input Data'!N27="Diterima","✓","")</f>
      </c>
      <c r="I27" s="36">
        <f>IF('Input Data'!N27="Ditolak","✓","")</f>
      </c>
      <c r="J27" s="4">
        <f>IF('Input Data'!O27="","",'Input Data'!O27)</f>
      </c>
    </row>
    <row r="28" ht="15" customHeight="1" spans="1:10" x14ac:dyDescent="0.25">
      <c r="A28" s="13">
        <f>IF('Input Data'!D28="","",'Input Data'!A28)</f>
      </c>
      <c r="B28" s="30">
        <f>IF('Input Data'!C28="","",'Input Data'!C28)</f>
      </c>
      <c r="C28" s="4">
        <f>IF('Input Data'!D28="","",'Input Data'!D28)</f>
      </c>
      <c r="D28" s="13">
        <f>IF('Input Data'!F28="","",'Input Data'!F28)</f>
      </c>
      <c r="E28" s="13">
        <f>IF('Input Data'!E28="","",'Input Data'!E28)</f>
      </c>
      <c r="F28" s="13">
        <f>IF('Input Data'!G28="","",'Input Data'!G28)</f>
      </c>
      <c r="G28" s="38">
        <f>IF('Input Data'!J28="","",'Input Data'!J28)</f>
      </c>
      <c r="H28" s="36">
        <f>IF('Input Data'!N28="Diterima","✓","")</f>
      </c>
      <c r="I28" s="36">
        <f>IF('Input Data'!N28="Ditolak","✓","")</f>
      </c>
      <c r="J28" s="4">
        <f>IF('Input Data'!O28="","",'Input Data'!O28)</f>
      </c>
    </row>
    <row r="29" ht="15" customHeight="1" spans="1:10" x14ac:dyDescent="0.25">
      <c r="A29" s="13">
        <f>IF('Input Data'!D29="","",'Input Data'!A29)</f>
      </c>
      <c r="B29" s="30">
        <f>IF('Input Data'!C29="","",'Input Data'!C29)</f>
      </c>
      <c r="C29" s="4">
        <f>IF('Input Data'!D29="","",'Input Data'!D29)</f>
      </c>
      <c r="D29" s="13">
        <f>IF('Input Data'!F29="","",'Input Data'!F29)</f>
      </c>
      <c r="E29" s="13">
        <f>IF('Input Data'!E29="","",'Input Data'!E29)</f>
      </c>
      <c r="F29" s="13">
        <f>IF('Input Data'!G29="","",'Input Data'!G29)</f>
      </c>
      <c r="G29" s="38">
        <f>IF('Input Data'!J29="","",'Input Data'!J29)</f>
      </c>
      <c r="H29" s="36">
        <f>IF('Input Data'!N29="Diterima","✓","")</f>
      </c>
      <c r="I29" s="36">
        <f>IF('Input Data'!N29="Ditolak","✓","")</f>
      </c>
      <c r="J29" s="4">
        <f>IF('Input Data'!O29="","",'Input Data'!O29)</f>
      </c>
    </row>
    <row r="30" ht="15" customHeight="1" spans="1:10" x14ac:dyDescent="0.25">
      <c r="A30" s="13">
        <f>IF('Input Data'!D30="","",'Input Data'!A30)</f>
      </c>
      <c r="B30" s="30">
        <f>IF('Input Data'!C30="","",'Input Data'!C30)</f>
      </c>
      <c r="C30" s="4">
        <f>IF('Input Data'!D30="","",'Input Data'!D30)</f>
      </c>
      <c r="D30" s="13">
        <f>IF('Input Data'!F30="","",'Input Data'!F30)</f>
      </c>
      <c r="E30" s="13">
        <f>IF('Input Data'!E30="","",'Input Data'!E30)</f>
      </c>
      <c r="F30" s="13">
        <f>IF('Input Data'!G30="","",'Input Data'!G30)</f>
      </c>
      <c r="G30" s="38">
        <f>IF('Input Data'!J30="","",'Input Data'!J30)</f>
      </c>
      <c r="H30" s="36">
        <f>IF('Input Data'!N30="Diterima","✓","")</f>
      </c>
      <c r="I30" s="36">
        <f>IF('Input Data'!N30="Ditolak","✓","")</f>
      </c>
      <c r="J30" s="4">
        <f>IF('Input Data'!O30="","",'Input Data'!O30)</f>
      </c>
    </row>
    <row r="31" ht="15" customHeight="1" spans="1:10" x14ac:dyDescent="0.25">
      <c r="A31" s="13">
        <f>IF('Input Data'!D31="","",'Input Data'!A31)</f>
      </c>
      <c r="B31" s="30">
        <f>IF('Input Data'!C31="","",'Input Data'!C31)</f>
      </c>
      <c r="C31" s="4">
        <f>IF('Input Data'!D31="","",'Input Data'!D31)</f>
      </c>
      <c r="D31" s="13">
        <f>IF('Input Data'!F31="","",'Input Data'!F31)</f>
      </c>
      <c r="E31" s="13">
        <f>IF('Input Data'!E31="","",'Input Data'!E31)</f>
      </c>
      <c r="F31" s="13">
        <f>IF('Input Data'!G31="","",'Input Data'!G31)</f>
      </c>
      <c r="G31" s="38">
        <f>IF('Input Data'!J31="","",'Input Data'!J31)</f>
      </c>
      <c r="H31" s="36">
        <f>IF('Input Data'!N31="Diterima","✓","")</f>
      </c>
      <c r="I31" s="36">
        <f>IF('Input Data'!N31="Ditolak","✓","")</f>
      </c>
      <c r="J31" s="4">
        <f>IF('Input Data'!O31="","",'Input Data'!O31)</f>
      </c>
    </row>
    <row r="32" ht="15" customHeight="1" spans="1:10" x14ac:dyDescent="0.25">
      <c r="A32" s="13">
        <f>IF('Input Data'!D32="","",'Input Data'!A32)</f>
      </c>
      <c r="B32" s="30">
        <f>IF('Input Data'!C32="","",'Input Data'!C32)</f>
      </c>
      <c r="C32" s="4">
        <f>IF('Input Data'!D32="","",'Input Data'!D32)</f>
      </c>
      <c r="D32" s="13">
        <f>IF('Input Data'!F32="","",'Input Data'!F32)</f>
      </c>
      <c r="E32" s="13">
        <f>IF('Input Data'!E32="","",'Input Data'!E32)</f>
      </c>
      <c r="F32" s="13">
        <f>IF('Input Data'!G32="","",'Input Data'!G32)</f>
      </c>
      <c r="G32" s="38">
        <f>IF('Input Data'!J32="","",'Input Data'!J32)</f>
      </c>
      <c r="H32" s="36">
        <f>IF('Input Data'!N32="Diterima","✓","")</f>
      </c>
      <c r="I32" s="36">
        <f>IF('Input Data'!N32="Ditolak","✓","")</f>
      </c>
      <c r="J32" s="4">
        <f>IF('Input Data'!O32="","",'Input Data'!O32)</f>
      </c>
    </row>
    <row r="34" ht="15" customHeight="1" spans="1:10" x14ac:dyDescent="0.25">
      <c r="A34" s="39" t="s">
        <v>94</v>
      </c>
      <c r="B34" s="39"/>
      <c r="C34" s="39"/>
      <c r="D34" s="39"/>
      <c r="E34" s="39"/>
      <c r="F34" s="39"/>
      <c r="G34" s="39"/>
      <c r="H34" s="39"/>
      <c r="I34" s="39"/>
      <c r="J34" s="39"/>
    </row>
    <row r="35" ht="15.75" customHeight="1" spans="1:8" x14ac:dyDescent="0.25">
      <c r="A35" s="28" t="s">
        <v>95</v>
      </c>
      <c r="B35" s="28"/>
      <c r="C35" s="28"/>
      <c r="D35" s="40"/>
      <c r="E35" s="37" t="s">
        <v>96</v>
      </c>
      <c r="F35" s="37"/>
      <c r="G35" s="40"/>
      <c r="H35" s="37" t="s">
        <v>97</v>
      </c>
    </row>
    <row r="36" ht="15.75" customHeight="1" spans="1:8" x14ac:dyDescent="0.25">
      <c r="A36" s="28" t="s">
        <v>98</v>
      </c>
      <c r="B36" s="28"/>
      <c r="C36" s="28"/>
      <c r="D36" s="36" t="str">
        <f>IF('Input Data'!$J$18="","",IF(SUMPRODUCT(('Input Data'!$D$23:$D$32&lt;&gt;"")*('Input Data'!$G$23:$G$32&lt;'Input Data'!$F$23:$F$32))=0,"✓",""))</f>
        <v>✓</v>
      </c>
      <c r="E36" s="37" t="s">
        <v>99</v>
      </c>
      <c r="F36" s="37"/>
      <c r="G36" s="36">
        <f>IF('Input Data'!$J$18="","",IF(SUMPRODUCT(('Input Data'!$D$23:$D$32&lt;&gt;"")*('Input Data'!$G$23:$G$32&lt;'Input Data'!$F$23:$F$32))&gt;0,"✓",""))</f>
      </c>
      <c r="H36" s="37" t="s">
        <v>100</v>
      </c>
    </row>
    <row r="37" ht="15.75" customHeight="1" spans="1:10" x14ac:dyDescent="0.25">
      <c r="A37" s="28" t="s">
        <v>101</v>
      </c>
      <c r="B37" s="28"/>
      <c r="C37" s="28"/>
      <c r="D37" s="40"/>
      <c r="E37" s="37" t="s">
        <v>102</v>
      </c>
      <c r="F37" s="37"/>
      <c r="G37" s="40"/>
      <c r="H37" s="37" t="s">
        <v>103</v>
      </c>
      <c r="I37" s="40"/>
      <c r="J37" s="37" t="s">
        <v>104</v>
      </c>
    </row>
    <row r="38" ht="15.75" customHeight="1" spans="1:10" x14ac:dyDescent="0.25">
      <c r="A38" s="28" t="s">
        <v>105</v>
      </c>
      <c r="B38" s="28"/>
      <c r="C38" s="28"/>
      <c r="D38" s="40"/>
      <c r="E38" s="37" t="s">
        <v>106</v>
      </c>
      <c r="F38" s="37"/>
      <c r="G38" s="40"/>
      <c r="H38" s="37" t="s">
        <v>107</v>
      </c>
      <c r="I38" s="40"/>
      <c r="J38" s="37" t="s">
        <v>108</v>
      </c>
    </row>
    <row r="39" ht="15.75" customHeight="1" spans="1:8" x14ac:dyDescent="0.25">
      <c r="A39" s="28" t="s">
        <v>109</v>
      </c>
      <c r="B39" s="28"/>
      <c r="C39" s="28"/>
      <c r="D39" s="40"/>
      <c r="E39" s="37" t="s">
        <v>110</v>
      </c>
      <c r="F39" s="37"/>
      <c r="G39" s="40"/>
      <c r="H39" s="37" t="s">
        <v>111</v>
      </c>
    </row>
    <row r="40" ht="15.75" customHeight="1" spans="1:8" x14ac:dyDescent="0.25">
      <c r="A40" s="28" t="s">
        <v>112</v>
      </c>
      <c r="B40" s="28"/>
      <c r="C40" s="28"/>
      <c r="D40" s="40"/>
      <c r="E40" s="37" t="s">
        <v>113</v>
      </c>
      <c r="F40" s="37"/>
      <c r="G40" s="40"/>
      <c r="H40" s="37" t="s">
        <v>114</v>
      </c>
    </row>
    <row r="41" ht="15.75" customHeight="1" spans="1:8" x14ac:dyDescent="0.25">
      <c r="A41" s="28" t="s">
        <v>115</v>
      </c>
      <c r="B41" s="28"/>
      <c r="C41" s="28"/>
      <c r="D41" s="36">
        <f>IF('Input Data'!$J$19="tidak terlambat","✓","")</f>
      </c>
      <c r="E41" s="37" t="s">
        <v>116</v>
      </c>
      <c r="F41" s="37"/>
      <c r="G41" s="36">
        <f>IF('Input Data'!$J$19="terlambat","✓","")</f>
      </c>
      <c r="H41" s="37" t="s">
        <v>117</v>
      </c>
    </row>
    <row r="42" ht="15" customHeight="1" spans="1:3" x14ac:dyDescent="0.25">
      <c r="A42" s="41" t="s">
        <v>118</v>
      </c>
      <c r="B42" s="41"/>
      <c r="C42" s="41"/>
    </row>
    <row r="44" ht="15" customHeight="1" spans="1:10" x14ac:dyDescent="0.25">
      <c r="A44" s="39" t="s">
        <v>119</v>
      </c>
      <c r="B44" s="39"/>
      <c r="C44" s="39"/>
      <c r="D44" s="39"/>
      <c r="E44" s="39"/>
      <c r="F44" s="39"/>
      <c r="G44" s="39"/>
      <c r="H44" s="39"/>
      <c r="I44" s="39"/>
      <c r="J44" s="39"/>
    </row>
    <row r="45" ht="15" customHeight="1" spans="1:10" x14ac:dyDescent="0.25">
      <c r="A45" s="42" t="s">
        <v>120</v>
      </c>
      <c r="B45" s="42"/>
      <c r="C45" s="42"/>
      <c r="D45" s="42"/>
      <c r="E45" s="42"/>
      <c r="F45" s="42"/>
      <c r="G45" s="42"/>
      <c r="H45" s="42"/>
      <c r="I45" s="42"/>
      <c r="J45" s="42"/>
    </row>
    <row r="46" ht="15" customHeight="1" spans="1:10" x14ac:dyDescent="0.25">
      <c r="A46" s="29" t="s">
        <v>65</v>
      </c>
      <c r="B46" s="29" t="s">
        <v>121</v>
      </c>
      <c r="C46" s="29"/>
      <c r="D46" s="29"/>
      <c r="E46" s="29"/>
      <c r="F46" s="29"/>
      <c r="G46" s="29" t="s">
        <v>122</v>
      </c>
      <c r="H46" s="29"/>
      <c r="I46" s="29" t="s">
        <v>50</v>
      </c>
      <c r="J46" s="29"/>
    </row>
    <row r="47" spans="1:10" x14ac:dyDescent="0.25">
      <c r="A47" s="29"/>
      <c r="B47" s="29"/>
      <c r="C47" s="29"/>
      <c r="D47" s="29"/>
      <c r="E47" s="29"/>
      <c r="F47" s="29"/>
      <c r="G47" s="29" t="s">
        <v>123</v>
      </c>
      <c r="H47" s="29" t="s">
        <v>36</v>
      </c>
      <c r="I47" s="29"/>
      <c r="J47" s="29"/>
    </row>
    <row r="48" ht="15" customHeight="1" spans="1:10" x14ac:dyDescent="0.25">
      <c r="A48" s="13">
        <v>1</v>
      </c>
      <c r="B48" s="6" t="s">
        <v>124</v>
      </c>
      <c r="C48" s="6"/>
      <c r="D48" s="6"/>
      <c r="E48" s="6"/>
      <c r="F48" s="6"/>
      <c r="G48" s="40"/>
      <c r="H48" s="40"/>
      <c r="I48" s="6"/>
      <c r="J48" s="6"/>
    </row>
    <row r="49" ht="15" customHeight="1" spans="1:10" x14ac:dyDescent="0.25">
      <c r="A49" s="13">
        <v>2</v>
      </c>
      <c r="B49" s="6" t="s">
        <v>125</v>
      </c>
      <c r="C49" s="6"/>
      <c r="D49" s="6"/>
      <c r="E49" s="6"/>
      <c r="F49" s="6"/>
      <c r="G49" s="40"/>
      <c r="H49" s="40"/>
      <c r="I49" s="6"/>
      <c r="J49" s="6"/>
    </row>
    <row r="50" ht="15" customHeight="1" spans="1:10" x14ac:dyDescent="0.25">
      <c r="A50" s="13">
        <v>3</v>
      </c>
      <c r="B50" s="6" t="s">
        <v>126</v>
      </c>
      <c r="C50" s="6"/>
      <c r="D50" s="6"/>
      <c r="E50" s="6"/>
      <c r="F50" s="6"/>
      <c r="G50" s="40"/>
      <c r="H50" s="40"/>
      <c r="I50" s="6"/>
      <c r="J50" s="6"/>
    </row>
    <row r="51" ht="15" customHeight="1" spans="1:10" x14ac:dyDescent="0.25">
      <c r="A51" s="13">
        <v>4</v>
      </c>
      <c r="B51" s="6"/>
      <c r="C51" s="6"/>
      <c r="D51" s="6"/>
      <c r="E51" s="6"/>
      <c r="F51" s="6"/>
      <c r="G51" s="40"/>
      <c r="H51" s="40"/>
      <c r="I51" s="6"/>
      <c r="J51" s="6"/>
    </row>
    <row r="52" ht="15" customHeight="1" spans="1:10" x14ac:dyDescent="0.25">
      <c r="A52" s="13">
        <v>5</v>
      </c>
      <c r="B52" s="6"/>
      <c r="C52" s="6"/>
      <c r="D52" s="6"/>
      <c r="E52" s="6"/>
      <c r="F52" s="6"/>
      <c r="G52" s="40"/>
      <c r="H52" s="40"/>
      <c r="I52" s="6"/>
      <c r="J52" s="6"/>
    </row>
    <row r="53" ht="15" customHeight="1" spans="1:10" x14ac:dyDescent="0.25">
      <c r="A53" s="13">
        <v>6</v>
      </c>
      <c r="B53" s="6"/>
      <c r="C53" s="6"/>
      <c r="D53" s="6"/>
      <c r="E53" s="6"/>
      <c r="F53" s="6"/>
      <c r="G53" s="40"/>
      <c r="H53" s="40"/>
      <c r="I53" s="6"/>
      <c r="J53" s="6"/>
    </row>
    <row r="54" ht="15" customHeight="1" spans="1:10" x14ac:dyDescent="0.25">
      <c r="A54" s="13">
        <v>7</v>
      </c>
      <c r="B54" s="6"/>
      <c r="C54" s="6"/>
      <c r="D54" s="6"/>
      <c r="E54" s="6"/>
      <c r="F54" s="6"/>
      <c r="G54" s="40"/>
      <c r="H54" s="40"/>
      <c r="I54" s="6"/>
      <c r="J54" s="6"/>
    </row>
    <row r="55" ht="15" customHeight="1" spans="1:10" x14ac:dyDescent="0.25">
      <c r="A55" s="13">
        <v>8</v>
      </c>
      <c r="B55" s="6"/>
      <c r="C55" s="6"/>
      <c r="D55" s="6"/>
      <c r="E55" s="6"/>
      <c r="F55" s="6"/>
      <c r="G55" s="40"/>
      <c r="H55" s="40"/>
      <c r="I55" s="6"/>
      <c r="J55" s="6"/>
    </row>
    <row r="57" ht="15.75" customHeight="1" spans="1:10" x14ac:dyDescent="0.25">
      <c r="A57" s="27" t="s">
        <v>127</v>
      </c>
      <c r="B57" s="27"/>
      <c r="C57" s="27"/>
      <c r="D57" s="36" t="str">
        <f>IF(AND(COUNTIF('Input Data'!$N$23:$N$32,"Diterima")&gt;0,COUNTIF('Input Data'!$N$23:$N$32,"Ditolak")=0),"✓","")</f>
        <v>✓</v>
      </c>
      <c r="E57" s="37" t="s">
        <v>92</v>
      </c>
      <c r="F57" s="37"/>
      <c r="G57" s="36">
        <f>IF(AND(COUNTIF('Input Data'!$N$23:$N$32,"Ditolak")&gt;0,COUNTIF('Input Data'!$N$23:$N$32,"Diterima")=0),"✓","")</f>
      </c>
      <c r="H57" s="37" t="s">
        <v>128</v>
      </c>
      <c r="I57" s="36">
        <f>IF(AND(COUNTIF('Input Data'!$N$23:$N$32,"Diterima")&gt;0,COUNTIF('Input Data'!$N$23:$N$32,"Ditolak")&gt;0),"✓","")</f>
      </c>
      <c r="J57" s="37" t="s">
        <v>129</v>
      </c>
    </row>
    <row r="59" ht="15" customHeight="1" spans="1:10" x14ac:dyDescent="0.25">
      <c r="A59" s="43" t="s">
        <v>130</v>
      </c>
      <c r="B59" s="43"/>
      <c r="C59" s="43"/>
      <c r="D59" s="43"/>
      <c r="E59" s="43"/>
      <c r="F59" s="43"/>
      <c r="G59" s="43"/>
      <c r="H59" s="43"/>
      <c r="I59" s="43"/>
      <c r="J59" s="43"/>
    </row>
    <row r="60" spans="1:10" x14ac:dyDescent="0.2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x14ac:dyDescent="0.2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x14ac:dyDescent="0.2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4" ht="27" customHeight="1" spans="1:10" x14ac:dyDescent="0.25">
      <c r="A64" s="31" t="s">
        <v>131</v>
      </c>
      <c r="B64" s="31"/>
      <c r="C64" s="31"/>
      <c r="D64" s="31"/>
      <c r="E64" s="31"/>
      <c r="F64" s="31"/>
      <c r="G64" s="31"/>
      <c r="H64" s="31"/>
      <c r="I64" s="31"/>
      <c r="J64" s="31"/>
    </row>
    <row r="66" ht="15" customHeight="1" spans="1:10" x14ac:dyDescent="0.25">
      <c r="A66" s="27" t="s">
        <v>132</v>
      </c>
      <c r="B66" s="27"/>
      <c r="C66" s="27"/>
      <c r="D66" s="27"/>
      <c r="E66" s="27"/>
      <c r="F66" s="27"/>
      <c r="G66" s="27"/>
      <c r="H66" s="27"/>
      <c r="I66" s="27"/>
      <c r="J66" s="27"/>
    </row>
    <row r="67" ht="15" customHeight="1" spans="1:10" x14ac:dyDescent="0.25">
      <c r="A67" s="29" t="s">
        <v>65</v>
      </c>
      <c r="B67" s="29" t="s">
        <v>133</v>
      </c>
      <c r="C67" s="29"/>
      <c r="D67" s="29" t="s">
        <v>134</v>
      </c>
      <c r="E67" s="29"/>
      <c r="F67" s="29" t="s">
        <v>135</v>
      </c>
      <c r="G67" s="29"/>
      <c r="H67" s="29" t="s">
        <v>136</v>
      </c>
      <c r="I67" s="29"/>
      <c r="J67" s="29" t="s">
        <v>137</v>
      </c>
    </row>
    <row r="68" ht="30" customHeight="1" spans="1:10" x14ac:dyDescent="0.25">
      <c r="A68" s="13">
        <v>1</v>
      </c>
      <c r="B68" s="6"/>
      <c r="C68" s="6"/>
      <c r="D68" s="6"/>
      <c r="E68" s="6"/>
      <c r="F68" s="6"/>
      <c r="G68" s="6"/>
      <c r="H68" s="6"/>
      <c r="I68" s="6"/>
      <c r="J68" s="4"/>
    </row>
    <row r="69" ht="30" customHeight="1" spans="1:10" x14ac:dyDescent="0.25">
      <c r="A69" s="13">
        <v>2</v>
      </c>
      <c r="B69" s="6"/>
      <c r="C69" s="6"/>
      <c r="D69" s="6"/>
      <c r="E69" s="6"/>
      <c r="F69" s="6"/>
      <c r="G69" s="6"/>
      <c r="H69" s="6"/>
      <c r="I69" s="6"/>
      <c r="J69" s="4"/>
    </row>
    <row r="70" ht="15" customHeight="1" spans="1:10" x14ac:dyDescent="0.25">
      <c r="A70" s="10" t="s">
        <v>138</v>
      </c>
      <c r="B70" s="10"/>
      <c r="C70" s="10"/>
      <c r="D70" s="10"/>
      <c r="E70" s="10"/>
      <c r="F70" s="10"/>
      <c r="G70" s="10"/>
      <c r="H70" s="10"/>
      <c r="I70" s="10"/>
      <c r="J70" s="10"/>
    </row>
    <row r="71" ht="30" customHeight="1" spans="1:10" x14ac:dyDescent="0.25">
      <c r="A71" s="13">
        <v>1</v>
      </c>
      <c r="B71" s="6"/>
      <c r="C71" s="6"/>
      <c r="D71" s="6"/>
      <c r="E71" s="6"/>
      <c r="F71" s="6"/>
      <c r="G71" s="6"/>
      <c r="H71" s="6"/>
      <c r="I71" s="6"/>
      <c r="J71" s="4"/>
    </row>
    <row r="72" ht="30" customHeight="1" spans="1:10" x14ac:dyDescent="0.25">
      <c r="A72" s="13">
        <v>2</v>
      </c>
      <c r="B72" s="6"/>
      <c r="C72" s="6"/>
      <c r="D72" s="6"/>
      <c r="E72" s="6"/>
      <c r="F72" s="6"/>
      <c r="G72" s="6"/>
      <c r="H72" s="6"/>
      <c r="I72" s="6"/>
      <c r="J72" s="4"/>
    </row>
    <row r="74" ht="15" customHeight="1" spans="1:10" x14ac:dyDescent="0.25">
      <c r="A74" s="22" t="s">
        <v>52</v>
      </c>
      <c r="B74" s="22"/>
      <c r="C74" s="22"/>
      <c r="D74" s="22"/>
      <c r="E74" s="22"/>
      <c r="F74" s="22"/>
      <c r="G74" s="22"/>
      <c r="H74" s="22"/>
      <c r="I74" s="22"/>
      <c r="J74" s="22"/>
    </row>
    <row r="75" ht="37.5" customHeight="1" spans="1:10" x14ac:dyDescent="0.25">
      <c r="A75" s="2" t="s">
        <v>139</v>
      </c>
      <c r="B75" s="2"/>
      <c r="C75" s="2"/>
      <c r="D75" s="2"/>
      <c r="E75" s="2"/>
      <c r="F75" s="2"/>
      <c r="G75" s="2"/>
      <c r="H75" s="2"/>
      <c r="I75" s="2"/>
      <c r="J75" s="2"/>
    </row>
    <row r="76" ht="25.5" customHeight="1" spans="1:10" x14ac:dyDescent="0.25">
      <c r="A76" s="2" t="s">
        <v>140</v>
      </c>
      <c r="B76" s="2"/>
      <c r="C76" s="2"/>
      <c r="D76" s="2"/>
      <c r="E76" s="2"/>
      <c r="F76" s="2"/>
      <c r="G76" s="2"/>
      <c r="H76" s="2"/>
      <c r="I76" s="2"/>
      <c r="J76" s="2"/>
    </row>
    <row r="77" ht="25.5" customHeight="1" spans="1:10" x14ac:dyDescent="0.25">
      <c r="A77" s="2" t="s">
        <v>141</v>
      </c>
      <c r="B77" s="2"/>
      <c r="C77" s="2"/>
      <c r="D77" s="2"/>
      <c r="E77" s="2"/>
      <c r="F77" s="2"/>
      <c r="G77" s="2"/>
      <c r="H77" s="2"/>
      <c r="I77" s="2"/>
      <c r="J77" s="2"/>
    </row>
  </sheetData>
  <mergeCells count="104">
    <mergeCell ref="A1:J1"/>
    <mergeCell ref="A2:C3"/>
    <mergeCell ref="D2:J3"/>
    <mergeCell ref="A5:C5"/>
    <mergeCell ref="D5:J5"/>
    <mergeCell ref="A6:C6"/>
    <mergeCell ref="D6:J6"/>
    <mergeCell ref="A7:C7"/>
    <mergeCell ref="D7:J7"/>
    <mergeCell ref="A8:C8"/>
    <mergeCell ref="D8:J8"/>
    <mergeCell ref="A9:C9"/>
    <mergeCell ref="D9:J9"/>
    <mergeCell ref="A10:C10"/>
    <mergeCell ref="D10:J10"/>
    <mergeCell ref="A12:C12"/>
    <mergeCell ref="A13:C13"/>
    <mergeCell ref="D13:J13"/>
    <mergeCell ref="A14:C14"/>
    <mergeCell ref="D14:J14"/>
    <mergeCell ref="A15:C15"/>
    <mergeCell ref="D15:J15"/>
    <mergeCell ref="A16:C16"/>
    <mergeCell ref="E16:F16"/>
    <mergeCell ref="A17:C17"/>
    <mergeCell ref="E17:F17"/>
    <mergeCell ref="H21:I21"/>
    <mergeCell ref="A21:A22"/>
    <mergeCell ref="B21:B22"/>
    <mergeCell ref="C21:C22"/>
    <mergeCell ref="D21:D22"/>
    <mergeCell ref="E21:E22"/>
    <mergeCell ref="F21:F22"/>
    <mergeCell ref="G21:G22"/>
    <mergeCell ref="J21:J22"/>
    <mergeCell ref="A34:J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A44:J44"/>
    <mergeCell ref="A45:J45"/>
    <mergeCell ref="B46:F47"/>
    <mergeCell ref="G46:H46"/>
    <mergeCell ref="I46:J47"/>
    <mergeCell ref="A46:A47"/>
    <mergeCell ref="B48:F48"/>
    <mergeCell ref="I48:J48"/>
    <mergeCell ref="B49:F49"/>
    <mergeCell ref="I49:J49"/>
    <mergeCell ref="B50:F50"/>
    <mergeCell ref="I50:J50"/>
    <mergeCell ref="B51:F51"/>
    <mergeCell ref="I51:J51"/>
    <mergeCell ref="B52:F52"/>
    <mergeCell ref="I52:J52"/>
    <mergeCell ref="B53:F53"/>
    <mergeCell ref="I53:J53"/>
    <mergeCell ref="B54:F54"/>
    <mergeCell ref="I54:J54"/>
    <mergeCell ref="B55:F55"/>
    <mergeCell ref="I55:J55"/>
    <mergeCell ref="A57:C57"/>
    <mergeCell ref="E57:F57"/>
    <mergeCell ref="A59:J59"/>
    <mergeCell ref="A60:J62"/>
    <mergeCell ref="A64:J64"/>
    <mergeCell ref="A66:J66"/>
    <mergeCell ref="B67:C67"/>
    <mergeCell ref="D67:E67"/>
    <mergeCell ref="F67:G67"/>
    <mergeCell ref="H67:I67"/>
    <mergeCell ref="B68:C68"/>
    <mergeCell ref="D68:E68"/>
    <mergeCell ref="F68:G68"/>
    <mergeCell ref="H68:I68"/>
    <mergeCell ref="B69:C69"/>
    <mergeCell ref="D69:E69"/>
    <mergeCell ref="F69:G69"/>
    <mergeCell ref="H69:I69"/>
    <mergeCell ref="A70:J70"/>
    <mergeCell ref="B71:C71"/>
    <mergeCell ref="D71:E71"/>
    <mergeCell ref="F71:G71"/>
    <mergeCell ref="H71:I71"/>
    <mergeCell ref="B72:C72"/>
    <mergeCell ref="D72:E72"/>
    <mergeCell ref="F72:G72"/>
    <mergeCell ref="H72:I72"/>
    <mergeCell ref="A74:J74"/>
    <mergeCell ref="A75:J75"/>
    <mergeCell ref="A76:J76"/>
    <mergeCell ref="A77:J77"/>
  </mergeCells>
  <dataValidations count="6">
    <dataValidation type="list" allowBlank="1" sqref="D35">
      <formula1>"✓"</formula1>
      <formula2>0</formula2>
    </dataValidation>
    <dataValidation type="list" allowBlank="1" sqref="D37:D40">
      <formula1>"✓"</formula1>
      <formula2>0</formula2>
    </dataValidation>
    <dataValidation type="list" allowBlank="1" sqref="G35">
      <formula1>"✓"</formula1>
      <formula2>0</formula2>
    </dataValidation>
    <dataValidation type="list" allowBlank="1" sqref="G37:G40">
      <formula1>"✓"</formula1>
      <formula2>0</formula2>
    </dataValidation>
    <dataValidation type="list" allowBlank="1" sqref="G48:H55">
      <formula1>"✓"</formula1>
      <formula2>0</formula2>
    </dataValidation>
    <dataValidation type="list" allowBlank="1" sqref="I37:I38">
      <formula1>"✓"</formula1>
      <formula2>0</formula2>
    </dataValidation>
  </dataValidations>
  <printOptions horizontalCentered="1"/>
  <pageMargins left="0.5" right="0.5" top="0.6" bottom="0.6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5"/>
  <sheetViews>
    <sheetView workbookViewId="0" showGridLines="0" zoomScale="100" zoomScaleNormal="100"/>
  </sheetViews>
  <sheetFormatPr defaultRowHeight="15" outlineLevelRow="0" outlineLevelCol="0" x14ac:dyDescent="0.25" defaultColWidth="8.5703125"/>
  <cols>
    <col min="1" max="1" width="7" customWidth="1"/>
    <col min="2" max="2" width="32" customWidth="1"/>
    <col min="3" max="3" width="8" customWidth="1"/>
    <col min="5" max="5" width="13" customWidth="1"/>
    <col min="8" max="8" width="13" customWidth="1"/>
    <col min="9" max="9" width="12" customWidth="1"/>
    <col min="10" max="10" width="17" customWidth="1"/>
  </cols>
  <sheetData>
    <row r="1" ht="15" customHeight="1" spans="1:10" x14ac:dyDescent="0.25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</row>
    <row r="2" ht="19.5" customHeight="1" spans="1:10" x14ac:dyDescent="0.25">
      <c r="A2" s="23" t="s">
        <v>59</v>
      </c>
      <c r="B2" s="23"/>
      <c r="C2" s="24" t="s">
        <v>143</v>
      </c>
      <c r="D2" s="24"/>
      <c r="E2" s="24"/>
      <c r="F2" s="24"/>
      <c r="G2" s="24"/>
      <c r="H2" s="24"/>
      <c r="I2" s="24"/>
      <c r="J2" s="24"/>
    </row>
    <row r="3" ht="19.5" customHeight="1" spans="1:10" x14ac:dyDescent="0.25">
      <c r="A3" s="23"/>
      <c r="B3" s="23"/>
      <c r="C3" s="24"/>
      <c r="D3" s="24"/>
      <c r="E3" s="24"/>
      <c r="F3" s="24"/>
      <c r="G3" s="24"/>
      <c r="H3" s="24"/>
      <c r="I3" s="24"/>
      <c r="J3" s="24"/>
    </row>
    <row r="5" ht="15" customHeight="1" spans="3:8" x14ac:dyDescent="0.25">
      <c r="C5" s="45" t="s">
        <v>144</v>
      </c>
      <c r="D5" s="45"/>
      <c r="E5" s="30">
        <f>IF('Input Data'!$J$15="","",'Input Data'!$J$15)</f>
      </c>
      <c r="F5" s="30"/>
      <c r="G5" s="30"/>
      <c r="H5" s="30"/>
    </row>
    <row r="6" ht="15" customHeight="1" spans="1:10" x14ac:dyDescent="0.25">
      <c r="A6" s="10" t="s">
        <v>145</v>
      </c>
      <c r="B6" s="10"/>
      <c r="C6" s="25" t="str">
        <f>IF('Input Data'!$J$10="","",'Input Data'!$J$10)</f>
        <v>5013916299</v>
      </c>
      <c r="D6" s="25"/>
      <c r="E6" s="25"/>
      <c r="F6" s="25"/>
      <c r="G6" s="25"/>
      <c r="H6" s="25"/>
      <c r="I6" s="25"/>
      <c r="J6" s="25"/>
    </row>
    <row r="7" ht="15" customHeight="1" spans="1:10" x14ac:dyDescent="0.25">
      <c r="A7" s="10" t="s">
        <v>17</v>
      </c>
      <c r="B7" s="10"/>
      <c r="C7" s="34">
        <f>IF('Input Data'!$J$11="","",'Input Data'!$J$11)</f>
        <v>NaN</v>
      </c>
      <c r="D7" s="34"/>
      <c r="E7" s="34"/>
      <c r="F7" s="34"/>
      <c r="G7" s="34"/>
      <c r="H7" s="34"/>
      <c r="I7" s="34"/>
      <c r="J7" s="34"/>
    </row>
    <row r="8" ht="15" customHeight="1" spans="1:10" x14ac:dyDescent="0.25">
      <c r="A8" s="10" t="s">
        <v>6</v>
      </c>
      <c r="B8" s="10"/>
      <c r="C8" s="25" t="str">
        <f>IF('Input Data'!$D$6="","",'Input Data'!$D$6)</f>
        <v>4720000471</v>
      </c>
      <c r="D8" s="25"/>
      <c r="E8" s="25"/>
      <c r="F8" s="25"/>
      <c r="G8" s="25"/>
      <c r="H8" s="25"/>
      <c r="I8" s="25"/>
      <c r="J8" s="25"/>
    </row>
    <row r="9" ht="15" customHeight="1" spans="1:10" x14ac:dyDescent="0.25">
      <c r="A9" s="10" t="s">
        <v>4</v>
      </c>
      <c r="B9" s="10"/>
      <c r="C9" s="25" t="str">
        <f>IF('Input Data'!$D$5="","",'Input Data'!$D$5)</f>
        <v>4300096306</v>
      </c>
      <c r="D9" s="25"/>
      <c r="E9" s="25"/>
      <c r="F9" s="25"/>
      <c r="G9" s="25"/>
      <c r="H9" s="25"/>
      <c r="I9" s="25"/>
      <c r="J9" s="25"/>
    </row>
    <row r="10" ht="15" customHeight="1" spans="1:10" x14ac:dyDescent="0.25">
      <c r="A10" s="10" t="s">
        <v>18</v>
      </c>
      <c r="B10" s="10"/>
      <c r="C10" s="25" t="str">
        <f>IF('Input Data'!$D$12="","",'Input Data'!$D$12)</f>
        <v>144821</v>
      </c>
      <c r="D10" s="25"/>
      <c r="E10" s="25"/>
      <c r="F10" s="25"/>
      <c r="G10" s="25"/>
      <c r="H10" s="25"/>
      <c r="I10" s="25"/>
      <c r="J10" s="25"/>
    </row>
    <row r="11" ht="15" customHeight="1" spans="1:10" x14ac:dyDescent="0.25">
      <c r="A11" s="10" t="s">
        <v>20</v>
      </c>
      <c r="B11" s="10"/>
      <c r="C11" s="4" t="str">
        <f>IF('Input Data'!$D$13="","",'Input Data'!$D$13)</f>
        <v>PT. INTI PERKASA TEKNIK</v>
      </c>
      <c r="D11" s="4"/>
      <c r="E11" s="4"/>
      <c r="F11" s="4"/>
      <c r="G11" s="4"/>
      <c r="H11" s="4"/>
      <c r="I11" s="4"/>
      <c r="J11" s="4"/>
    </row>
    <row r="12" ht="15" customHeight="1" spans="1:10" x14ac:dyDescent="0.25">
      <c r="A12" s="10" t="s">
        <v>24</v>
      </c>
      <c r="B12" s="10"/>
      <c r="C12" s="4" t="str">
        <f>IF('Input Data'!$D$15="","",'Input Data'!$D$15)</f>
        <v>iptek@indo.net.id</v>
      </c>
      <c r="D12" s="4"/>
      <c r="E12" s="4"/>
      <c r="F12" s="4"/>
      <c r="G12" s="4"/>
      <c r="H12" s="4"/>
      <c r="I12" s="4"/>
      <c r="J12" s="4"/>
    </row>
    <row r="13" ht="15" customHeight="1" spans="1:10" x14ac:dyDescent="0.25">
      <c r="A13" s="10" t="s">
        <v>26</v>
      </c>
      <c r="B13" s="10"/>
      <c r="C13" s="25" t="str">
        <f>IF('Input Data'!$D$16="","",'Input Data'!$D$16)</f>
        <v>0761-839853</v>
      </c>
      <c r="D13" s="25"/>
      <c r="E13" s="25"/>
      <c r="F13" s="25"/>
      <c r="G13" s="25"/>
      <c r="H13" s="25"/>
      <c r="I13" s="25"/>
      <c r="J13" s="25"/>
    </row>
    <row r="14" ht="15" customHeight="1" spans="1:10" x14ac:dyDescent="0.25">
      <c r="A14" s="10" t="s">
        <v>27</v>
      </c>
      <c r="B14" s="10"/>
      <c r="C14" s="4" t="str">
        <f>IF('Input Data'!$D$17="","",'Input Data'!$D$17)</f>
        <v>PT Pertamina EP Field Rantau</v>
      </c>
      <c r="D14" s="4"/>
      <c r="E14" s="4"/>
      <c r="F14" s="4"/>
      <c r="G14" s="4"/>
      <c r="H14" s="4"/>
      <c r="I14" s="4"/>
      <c r="J14" s="4"/>
    </row>
    <row r="15" ht="15" customHeight="1" spans="1:10" x14ac:dyDescent="0.25">
      <c r="A15" s="10" t="s">
        <v>63</v>
      </c>
      <c r="B15" s="10"/>
      <c r="C15" s="4" t="str">
        <f>"Denda Keterlambatan Pengiriman Barang"&amp;IF('Input Data'!$J$5="",""," – "&amp;'Input Data'!$J$5)</f>
        <v>Denda Keterlambatan Pengiriman Barang – PEMENUHAN MATERIAL CUP PACKER PT PERTAMINA EP ZONA 1 FIELD RANTAU REF OA 4720000471</v>
      </c>
      <c r="D15" s="4"/>
      <c r="E15" s="4"/>
      <c r="F15" s="4"/>
      <c r="G15" s="4"/>
      <c r="H15" s="4"/>
      <c r="I15" s="4"/>
      <c r="J15" s="4"/>
    </row>
    <row r="17" ht="18" customHeight="1" spans="1:10" x14ac:dyDescent="0.25">
      <c r="A17" s="29" t="s">
        <v>37</v>
      </c>
      <c r="B17" s="29" t="s">
        <v>66</v>
      </c>
      <c r="C17" s="29" t="s">
        <v>146</v>
      </c>
      <c r="D17" s="29" t="s">
        <v>40</v>
      </c>
      <c r="E17" s="29" t="s">
        <v>68</v>
      </c>
      <c r="F17" s="29"/>
      <c r="G17" s="29" t="s">
        <v>69</v>
      </c>
      <c r="H17" s="29"/>
      <c r="I17" s="29" t="s">
        <v>147</v>
      </c>
      <c r="J17" s="29"/>
    </row>
    <row r="18" ht="15" customHeight="1" spans="1:10" x14ac:dyDescent="0.25">
      <c r="A18" s="30" t="str">
        <f>IF('Input Data'!B23="","",'Input Data'!B23)</f>
        <v>1</v>
      </c>
      <c r="B18" s="4" t="str">
        <f>IF('Input Data'!D23="","",'Input Data'!D23)</f>
        <v>CUP PACKER, 7" X 2.7/8", 22-24#</v>
      </c>
      <c r="C18" s="13">
        <f>IF('Input Data'!F23="","",'Input Data'!F23)</f>
        <v>2</v>
      </c>
      <c r="D18" s="13" t="str">
        <f>IF('Input Data'!E23="","",'Input Data'!E23)</f>
        <v>PCS</v>
      </c>
      <c r="E18" s="30" t="str">
        <f>IF('Input Data'!C23="","",'Input Data'!C23)</f>
        <v>B134900003</v>
      </c>
      <c r="F18" s="30"/>
      <c r="G18" s="17">
        <f>IF('Input Data'!H23="","",'Input Data'!H23)</f>
        <v>65865000</v>
      </c>
      <c r="H18" s="17"/>
      <c r="I18" s="17">
        <f>IF('Input Data'!I23="","",'Input Data'!I23)</f>
        <v>131730000</v>
      </c>
      <c r="J18" s="17"/>
    </row>
    <row r="19" ht="15" customHeight="1" spans="1:10" x14ac:dyDescent="0.25">
      <c r="A19" s="30" t="str">
        <f>IF('Input Data'!B24="","",'Input Data'!B24)</f>
        <v>2</v>
      </c>
      <c r="B19" s="4" t="str">
        <f>IF('Input Data'!D24="","",'Input Data'!D24)</f>
        <v>PCKR,REDRESS KIT,CUP,7,J55,5000,300</v>
      </c>
      <c r="C19" s="13">
        <f>IF('Input Data'!F24="","",'Input Data'!F24)</f>
        <v>18</v>
      </c>
      <c r="D19" s="13" t="str">
        <f>IF('Input Data'!E24="","",'Input Data'!E24)</f>
        <v>PCS</v>
      </c>
      <c r="E19" s="30" t="str">
        <f>IF('Input Data'!C24="","",'Input Data'!C24)</f>
        <v>Z66210004900</v>
      </c>
      <c r="F19" s="30"/>
      <c r="G19" s="17">
        <f>IF('Input Data'!H24="","",'Input Data'!H24)</f>
        <v>8500000</v>
      </c>
      <c r="H19" s="17"/>
      <c r="I19" s="17">
        <f>IF('Input Data'!I24="","",'Input Data'!I24)</f>
        <v>153000000</v>
      </c>
      <c r="J19" s="17"/>
    </row>
    <row r="20" ht="15" customHeight="1" spans="1:10" x14ac:dyDescent="0.25">
      <c r="A20" s="30">
        <f>IF('Input Data'!B25="","",'Input Data'!B25)</f>
      </c>
      <c r="B20" s="4">
        <f>IF('Input Data'!D25="","",'Input Data'!D25)</f>
      </c>
      <c r="C20" s="13">
        <f>IF('Input Data'!F25="","",'Input Data'!F25)</f>
      </c>
      <c r="D20" s="13">
        <f>IF('Input Data'!E25="","",'Input Data'!E25)</f>
      </c>
      <c r="E20" s="30">
        <f>IF('Input Data'!C25="","",'Input Data'!C25)</f>
      </c>
      <c r="F20" s="30"/>
      <c r="G20" s="17">
        <f>IF('Input Data'!H25="","",'Input Data'!H25)</f>
      </c>
      <c r="H20" s="17"/>
      <c r="I20" s="17">
        <f>IF('Input Data'!I25="","",'Input Data'!I25)</f>
      </c>
      <c r="J20" s="17"/>
    </row>
    <row r="21" ht="15" customHeight="1" spans="1:10" x14ac:dyDescent="0.25">
      <c r="A21" s="30">
        <f>IF('Input Data'!B26="","",'Input Data'!B26)</f>
      </c>
      <c r="B21" s="4">
        <f>IF('Input Data'!D26="","",'Input Data'!D26)</f>
      </c>
      <c r="C21" s="13">
        <f>IF('Input Data'!F26="","",'Input Data'!F26)</f>
      </c>
      <c r="D21" s="13">
        <f>IF('Input Data'!E26="","",'Input Data'!E26)</f>
      </c>
      <c r="E21" s="30">
        <f>IF('Input Data'!C26="","",'Input Data'!C26)</f>
      </c>
      <c r="F21" s="30"/>
      <c r="G21" s="17">
        <f>IF('Input Data'!H26="","",'Input Data'!H26)</f>
      </c>
      <c r="H21" s="17"/>
      <c r="I21" s="17">
        <f>IF('Input Data'!I26="","",'Input Data'!I26)</f>
      </c>
      <c r="J21" s="17"/>
    </row>
    <row r="22" ht="15" customHeight="1" spans="1:10" x14ac:dyDescent="0.25">
      <c r="A22" s="30">
        <f>IF('Input Data'!B27="","",'Input Data'!B27)</f>
      </c>
      <c r="B22" s="4">
        <f>IF('Input Data'!D27="","",'Input Data'!D27)</f>
      </c>
      <c r="C22" s="13">
        <f>IF('Input Data'!F27="","",'Input Data'!F27)</f>
      </c>
      <c r="D22" s="13">
        <f>IF('Input Data'!E27="","",'Input Data'!E27)</f>
      </c>
      <c r="E22" s="30">
        <f>IF('Input Data'!C27="","",'Input Data'!C27)</f>
      </c>
      <c r="F22" s="30"/>
      <c r="G22" s="17">
        <f>IF('Input Data'!H27="","",'Input Data'!H27)</f>
      </c>
      <c r="H22" s="17"/>
      <c r="I22" s="17">
        <f>IF('Input Data'!I27="","",'Input Data'!I27)</f>
      </c>
      <c r="J22" s="17"/>
    </row>
    <row r="23" ht="15" customHeight="1" spans="1:10" x14ac:dyDescent="0.25">
      <c r="A23" s="30">
        <f>IF('Input Data'!B28="","",'Input Data'!B28)</f>
      </c>
      <c r="B23" s="4">
        <f>IF('Input Data'!D28="","",'Input Data'!D28)</f>
      </c>
      <c r="C23" s="13">
        <f>IF('Input Data'!F28="","",'Input Data'!F28)</f>
      </c>
      <c r="D23" s="13">
        <f>IF('Input Data'!E28="","",'Input Data'!E28)</f>
      </c>
      <c r="E23" s="30">
        <f>IF('Input Data'!C28="","",'Input Data'!C28)</f>
      </c>
      <c r="F23" s="30"/>
      <c r="G23" s="17">
        <f>IF('Input Data'!H28="","",'Input Data'!H28)</f>
      </c>
      <c r="H23" s="17"/>
      <c r="I23" s="17">
        <f>IF('Input Data'!I28="","",'Input Data'!I28)</f>
      </c>
      <c r="J23" s="17"/>
    </row>
    <row r="24" ht="15" customHeight="1" spans="1:10" x14ac:dyDescent="0.25">
      <c r="A24" s="30">
        <f>IF('Input Data'!B29="","",'Input Data'!B29)</f>
      </c>
      <c r="B24" s="4">
        <f>IF('Input Data'!D29="","",'Input Data'!D29)</f>
      </c>
      <c r="C24" s="13">
        <f>IF('Input Data'!F29="","",'Input Data'!F29)</f>
      </c>
      <c r="D24" s="13">
        <f>IF('Input Data'!E29="","",'Input Data'!E29)</f>
      </c>
      <c r="E24" s="30">
        <f>IF('Input Data'!C29="","",'Input Data'!C29)</f>
      </c>
      <c r="F24" s="30"/>
      <c r="G24" s="17">
        <f>IF('Input Data'!H29="","",'Input Data'!H29)</f>
      </c>
      <c r="H24" s="17"/>
      <c r="I24" s="17">
        <f>IF('Input Data'!I29="","",'Input Data'!I29)</f>
      </c>
      <c r="J24" s="17"/>
    </row>
    <row r="25" ht="15" customHeight="1" spans="1:10" x14ac:dyDescent="0.25">
      <c r="A25" s="30">
        <f>IF('Input Data'!B30="","",'Input Data'!B30)</f>
      </c>
      <c r="B25" s="4">
        <f>IF('Input Data'!D30="","",'Input Data'!D30)</f>
      </c>
      <c r="C25" s="13">
        <f>IF('Input Data'!F30="","",'Input Data'!F30)</f>
      </c>
      <c r="D25" s="13">
        <f>IF('Input Data'!E30="","",'Input Data'!E30)</f>
      </c>
      <c r="E25" s="30">
        <f>IF('Input Data'!C30="","",'Input Data'!C30)</f>
      </c>
      <c r="F25" s="30"/>
      <c r="G25" s="17">
        <f>IF('Input Data'!H30="","",'Input Data'!H30)</f>
      </c>
      <c r="H25" s="17"/>
      <c r="I25" s="17">
        <f>IF('Input Data'!I30="","",'Input Data'!I30)</f>
      </c>
      <c r="J25" s="17"/>
    </row>
    <row r="26" ht="15" customHeight="1" spans="1:10" x14ac:dyDescent="0.25">
      <c r="A26" s="30">
        <f>IF('Input Data'!B31="","",'Input Data'!B31)</f>
      </c>
      <c r="B26" s="4">
        <f>IF('Input Data'!D31="","",'Input Data'!D31)</f>
      </c>
      <c r="C26" s="13">
        <f>IF('Input Data'!F31="","",'Input Data'!F31)</f>
      </c>
      <c r="D26" s="13">
        <f>IF('Input Data'!E31="","",'Input Data'!E31)</f>
      </c>
      <c r="E26" s="30">
        <f>IF('Input Data'!C31="","",'Input Data'!C31)</f>
      </c>
      <c r="F26" s="30"/>
      <c r="G26" s="17">
        <f>IF('Input Data'!H31="","",'Input Data'!H31)</f>
      </c>
      <c r="H26" s="17"/>
      <c r="I26" s="17">
        <f>IF('Input Data'!I31="","",'Input Data'!I31)</f>
      </c>
      <c r="J26" s="17"/>
    </row>
    <row r="27" ht="15" customHeight="1" spans="1:10" x14ac:dyDescent="0.25">
      <c r="A27" s="30">
        <f>IF('Input Data'!B32="","",'Input Data'!B32)</f>
      </c>
      <c r="B27" s="4">
        <f>IF('Input Data'!D32="","",'Input Data'!D32)</f>
      </c>
      <c r="C27" s="13">
        <f>IF('Input Data'!F32="","",'Input Data'!F32)</f>
      </c>
      <c r="D27" s="13">
        <f>IF('Input Data'!E32="","",'Input Data'!E32)</f>
      </c>
      <c r="E27" s="30">
        <f>IF('Input Data'!C32="","",'Input Data'!C32)</f>
      </c>
      <c r="F27" s="30"/>
      <c r="G27" s="17">
        <f>IF('Input Data'!H32="","",'Input Data'!H32)</f>
      </c>
      <c r="H27" s="17"/>
      <c r="I27" s="17">
        <f>IF('Input Data'!I32="","",'Input Data'!I32)</f>
      </c>
      <c r="J27" s="17"/>
    </row>
    <row r="28" ht="15" customHeight="1" spans="1:10" x14ac:dyDescent="0.25">
      <c r="A28" s="20" t="s">
        <v>51</v>
      </c>
      <c r="B28" s="20"/>
      <c r="C28" s="20"/>
      <c r="D28" s="20"/>
      <c r="E28" s="20"/>
      <c r="F28" s="20"/>
      <c r="G28" s="20"/>
      <c r="H28" s="20"/>
      <c r="I28" s="21">
        <f>SUM(I18:I27)</f>
        <v>284730000</v>
      </c>
      <c r="J28" s="21"/>
    </row>
    <row r="30" ht="15" customHeight="1" spans="1:10" x14ac:dyDescent="0.25">
      <c r="A30" s="28" t="s">
        <v>148</v>
      </c>
      <c r="B30" s="28"/>
      <c r="C30" s="28"/>
      <c r="D30" s="28"/>
      <c r="E30" s="28"/>
      <c r="F30" s="28"/>
      <c r="G30" s="28"/>
      <c r="H30" s="28"/>
      <c r="I30" s="28"/>
      <c r="J30" s="28"/>
    </row>
    <row r="31" ht="15" customHeight="1" spans="1:10" x14ac:dyDescent="0.25">
      <c r="A31" s="29" t="s">
        <v>149</v>
      </c>
      <c r="B31" s="29" t="s">
        <v>66</v>
      </c>
      <c r="C31" s="29" t="s">
        <v>150</v>
      </c>
      <c r="D31" s="29"/>
      <c r="E31" s="29"/>
      <c r="F31" s="29" t="s">
        <v>151</v>
      </c>
      <c r="G31" s="29"/>
      <c r="H31" s="29"/>
      <c r="I31" s="29" t="s">
        <v>152</v>
      </c>
      <c r="J31" s="29"/>
    </row>
    <row r="32" ht="24" customHeight="1" spans="1:10" x14ac:dyDescent="0.25">
      <c r="A32" s="29"/>
      <c r="B32" s="29"/>
      <c r="C32" s="12" t="s">
        <v>146</v>
      </c>
      <c r="D32" s="12" t="s">
        <v>40</v>
      </c>
      <c r="E32" s="12" t="s">
        <v>153</v>
      </c>
      <c r="F32" s="12" t="s">
        <v>146</v>
      </c>
      <c r="G32" s="12" t="s">
        <v>40</v>
      </c>
      <c r="H32" s="12" t="s">
        <v>154</v>
      </c>
      <c r="I32" s="29"/>
      <c r="J32" s="29"/>
    </row>
    <row r="33" ht="15" customHeight="1" spans="1:10" x14ac:dyDescent="0.25">
      <c r="A33" s="13" t="str">
        <f t="shared" ref="A33:D42" si="0">A18</f>
        <v>1</v>
      </c>
      <c r="B33" s="4" t="str">
        <f t="shared" si="0"/>
        <v>CUP PACKER, 7" X 2.7/8", 22-24#</v>
      </c>
      <c r="C33" s="13">
        <f t="shared" si="0"/>
        <v>2</v>
      </c>
      <c r="D33" s="13" t="str">
        <f t="shared" si="0"/>
        <v>PCS</v>
      </c>
      <c r="E33" s="46">
        <f>IF('Input Data'!D23="","",IF('Input Data'!K23="",IF('Input Data'!$D$8="","",'Input Data'!$D$8),'Input Data'!K23))</f>
        <v>NaN</v>
      </c>
      <c r="F33" s="13">
        <f>IF('Input Data'!G23="","",'Input Data'!G23)</f>
        <v>2</v>
      </c>
      <c r="G33" s="13" t="str">
        <f t="shared" ref="G33:G42" si="1">D18</f>
        <v>PCS</v>
      </c>
      <c r="H33" s="46">
        <f>IF('Input Data'!D23="","",IF('Input Data'!L23="",IF('Input Data'!$J$7="","",'Input Data'!$J$7),'Input Data'!L23))</f>
        <v>NaN</v>
      </c>
      <c r="I33" s="13" t="e">
        <f>IF('Input Data'!M23="","",IF('Input Data'!M23&gt;0,"Terlambat "&amp;'Input Data'!M23&amp;" hari","Tepat waktu"))</f>
        <v>#VALUE!</v>
      </c>
      <c r="J33" s="13"/>
    </row>
    <row r="34" ht="15" customHeight="1" spans="1:10" x14ac:dyDescent="0.25">
      <c r="A34" s="13" t="str">
        <f t="shared" si="0"/>
        <v>2</v>
      </c>
      <c r="B34" s="4" t="str">
        <f t="shared" si="0"/>
        <v>PCKR,REDRESS KIT,CUP,7,J55,5000,300</v>
      </c>
      <c r="C34" s="13">
        <f t="shared" si="0"/>
        <v>18</v>
      </c>
      <c r="D34" s="13" t="str">
        <f t="shared" si="0"/>
        <v>PCS</v>
      </c>
      <c r="E34" s="46">
        <f>IF('Input Data'!D24="","",IF('Input Data'!K24="",IF('Input Data'!$D$8="","",'Input Data'!$D$8),'Input Data'!K24))</f>
        <v>NaN</v>
      </c>
      <c r="F34" s="13">
        <f>IF('Input Data'!G24="","",'Input Data'!G24)</f>
        <v>18</v>
      </c>
      <c r="G34" s="13" t="str">
        <f t="shared" si="1"/>
        <v>PCS</v>
      </c>
      <c r="H34" s="46">
        <f>IF('Input Data'!D24="","",IF('Input Data'!L24="",IF('Input Data'!$J$7="","",'Input Data'!$J$7),'Input Data'!L24))</f>
        <v>NaN</v>
      </c>
      <c r="I34" s="13" t="e">
        <f>IF('Input Data'!M24="","",IF('Input Data'!M24&gt;0,"Terlambat "&amp;'Input Data'!M24&amp;" hari","Tepat waktu"))</f>
        <v>#VALUE!</v>
      </c>
      <c r="J34" s="13"/>
    </row>
    <row r="35" ht="15" customHeight="1" spans="1:10" x14ac:dyDescent="0.25">
      <c r="A35" s="13">
        <f t="shared" si="0"/>
      </c>
      <c r="B35" s="4">
        <f t="shared" si="0"/>
      </c>
      <c r="C35" s="13">
        <f t="shared" si="0"/>
      </c>
      <c r="D35" s="13">
        <f t="shared" si="0"/>
      </c>
      <c r="E35" s="46">
        <f>IF('Input Data'!D25="","",IF('Input Data'!K25="",IF('Input Data'!$D$8="","",'Input Data'!$D$8),'Input Data'!K25))</f>
      </c>
      <c r="F35" s="13">
        <f>IF('Input Data'!G25="","",'Input Data'!G25)</f>
      </c>
      <c r="G35" s="13">
        <f t="shared" si="1"/>
      </c>
      <c r="H35" s="46">
        <f>IF('Input Data'!D25="","",IF('Input Data'!L25="",IF('Input Data'!$J$7="","",'Input Data'!$J$7),'Input Data'!L25))</f>
      </c>
      <c r="I35" s="13">
        <f>IF('Input Data'!M25="","",IF('Input Data'!M25&gt;0,"Terlambat "&amp;'Input Data'!M25&amp;" hari","Tepat waktu"))</f>
      </c>
      <c r="J35" s="13"/>
    </row>
    <row r="36" ht="15" customHeight="1" spans="1:10" x14ac:dyDescent="0.25">
      <c r="A36" s="13">
        <f t="shared" si="0"/>
      </c>
      <c r="B36" s="4">
        <f t="shared" si="0"/>
      </c>
      <c r="C36" s="13">
        <f t="shared" si="0"/>
      </c>
      <c r="D36" s="13">
        <f t="shared" si="0"/>
      </c>
      <c r="E36" s="46">
        <f>IF('Input Data'!D26="","",IF('Input Data'!K26="",IF('Input Data'!$D$8="","",'Input Data'!$D$8),'Input Data'!K26))</f>
      </c>
      <c r="F36" s="13">
        <f>IF('Input Data'!G26="","",'Input Data'!G26)</f>
      </c>
      <c r="G36" s="13">
        <f t="shared" si="1"/>
      </c>
      <c r="H36" s="46">
        <f>IF('Input Data'!D26="","",IF('Input Data'!L26="",IF('Input Data'!$J$7="","",'Input Data'!$J$7),'Input Data'!L26))</f>
      </c>
      <c r="I36" s="13">
        <f>IF('Input Data'!M26="","",IF('Input Data'!M26&gt;0,"Terlambat "&amp;'Input Data'!M26&amp;" hari","Tepat waktu"))</f>
      </c>
      <c r="J36" s="13"/>
    </row>
    <row r="37" ht="15" customHeight="1" spans="1:10" x14ac:dyDescent="0.25">
      <c r="A37" s="13">
        <f t="shared" si="0"/>
      </c>
      <c r="B37" s="4">
        <f t="shared" si="0"/>
      </c>
      <c r="C37" s="13">
        <f t="shared" si="0"/>
      </c>
      <c r="D37" s="13">
        <f t="shared" si="0"/>
      </c>
      <c r="E37" s="46">
        <f>IF('Input Data'!D27="","",IF('Input Data'!K27="",IF('Input Data'!$D$8="","",'Input Data'!$D$8),'Input Data'!K27))</f>
      </c>
      <c r="F37" s="13">
        <f>IF('Input Data'!G27="","",'Input Data'!G27)</f>
      </c>
      <c r="G37" s="13">
        <f t="shared" si="1"/>
      </c>
      <c r="H37" s="46">
        <f>IF('Input Data'!D27="","",IF('Input Data'!L27="",IF('Input Data'!$J$7="","",'Input Data'!$J$7),'Input Data'!L27))</f>
      </c>
      <c r="I37" s="13">
        <f>IF('Input Data'!M27="","",IF('Input Data'!M27&gt;0,"Terlambat "&amp;'Input Data'!M27&amp;" hari","Tepat waktu"))</f>
      </c>
      <c r="J37" s="13"/>
    </row>
    <row r="38" ht="15" customHeight="1" spans="1:10" x14ac:dyDescent="0.25">
      <c r="A38" s="13">
        <f t="shared" si="0"/>
      </c>
      <c r="B38" s="4">
        <f t="shared" si="0"/>
      </c>
      <c r="C38" s="13">
        <f t="shared" si="0"/>
      </c>
      <c r="D38" s="13">
        <f t="shared" si="0"/>
      </c>
      <c r="E38" s="46">
        <f>IF('Input Data'!D28="","",IF('Input Data'!K28="",IF('Input Data'!$D$8="","",'Input Data'!$D$8),'Input Data'!K28))</f>
      </c>
      <c r="F38" s="13">
        <f>IF('Input Data'!G28="","",'Input Data'!G28)</f>
      </c>
      <c r="G38" s="13">
        <f t="shared" si="1"/>
      </c>
      <c r="H38" s="46">
        <f>IF('Input Data'!D28="","",IF('Input Data'!L28="",IF('Input Data'!$J$7="","",'Input Data'!$J$7),'Input Data'!L28))</f>
      </c>
      <c r="I38" s="13">
        <f>IF('Input Data'!M28="","",IF('Input Data'!M28&gt;0,"Terlambat "&amp;'Input Data'!M28&amp;" hari","Tepat waktu"))</f>
      </c>
      <c r="J38" s="13"/>
    </row>
    <row r="39" ht="15" customHeight="1" spans="1:10" x14ac:dyDescent="0.25">
      <c r="A39" s="13">
        <f t="shared" si="0"/>
      </c>
      <c r="B39" s="4">
        <f t="shared" si="0"/>
      </c>
      <c r="C39" s="13">
        <f t="shared" si="0"/>
      </c>
      <c r="D39" s="13">
        <f t="shared" si="0"/>
      </c>
      <c r="E39" s="46">
        <f>IF('Input Data'!D29="","",IF('Input Data'!K29="",IF('Input Data'!$D$8="","",'Input Data'!$D$8),'Input Data'!K29))</f>
      </c>
      <c r="F39" s="13">
        <f>IF('Input Data'!G29="","",'Input Data'!G29)</f>
      </c>
      <c r="G39" s="13">
        <f t="shared" si="1"/>
      </c>
      <c r="H39" s="46">
        <f>IF('Input Data'!D29="","",IF('Input Data'!L29="",IF('Input Data'!$J$7="","",'Input Data'!$J$7),'Input Data'!L29))</f>
      </c>
      <c r="I39" s="13">
        <f>IF('Input Data'!M29="","",IF('Input Data'!M29&gt;0,"Terlambat "&amp;'Input Data'!M29&amp;" hari","Tepat waktu"))</f>
      </c>
      <c r="J39" s="13"/>
    </row>
    <row r="40" ht="15" customHeight="1" spans="1:10" x14ac:dyDescent="0.25">
      <c r="A40" s="13">
        <f t="shared" si="0"/>
      </c>
      <c r="B40" s="4">
        <f t="shared" si="0"/>
      </c>
      <c r="C40" s="13">
        <f t="shared" si="0"/>
      </c>
      <c r="D40" s="13">
        <f t="shared" si="0"/>
      </c>
      <c r="E40" s="46">
        <f>IF('Input Data'!D30="","",IF('Input Data'!K30="",IF('Input Data'!$D$8="","",'Input Data'!$D$8),'Input Data'!K30))</f>
      </c>
      <c r="F40" s="13">
        <f>IF('Input Data'!G30="","",'Input Data'!G30)</f>
      </c>
      <c r="G40" s="13">
        <f t="shared" si="1"/>
      </c>
      <c r="H40" s="46">
        <f>IF('Input Data'!D30="","",IF('Input Data'!L30="",IF('Input Data'!$J$7="","",'Input Data'!$J$7),'Input Data'!L30))</f>
      </c>
      <c r="I40" s="13">
        <f>IF('Input Data'!M30="","",IF('Input Data'!M30&gt;0,"Terlambat "&amp;'Input Data'!M30&amp;" hari","Tepat waktu"))</f>
      </c>
      <c r="J40" s="13"/>
    </row>
    <row r="41" ht="15" customHeight="1" spans="1:10" x14ac:dyDescent="0.25">
      <c r="A41" s="13">
        <f t="shared" si="0"/>
      </c>
      <c r="B41" s="4">
        <f t="shared" si="0"/>
      </c>
      <c r="C41" s="13">
        <f t="shared" si="0"/>
      </c>
      <c r="D41" s="13">
        <f t="shared" si="0"/>
      </c>
      <c r="E41" s="46">
        <f>IF('Input Data'!D31="","",IF('Input Data'!K31="",IF('Input Data'!$D$8="","",'Input Data'!$D$8),'Input Data'!K31))</f>
      </c>
      <c r="F41" s="13">
        <f>IF('Input Data'!G31="","",'Input Data'!G31)</f>
      </c>
      <c r="G41" s="13">
        <f t="shared" si="1"/>
      </c>
      <c r="H41" s="46">
        <f>IF('Input Data'!D31="","",IF('Input Data'!L31="",IF('Input Data'!$J$7="","",'Input Data'!$J$7),'Input Data'!L31))</f>
      </c>
      <c r="I41" s="13">
        <f>IF('Input Data'!M31="","",IF('Input Data'!M31&gt;0,"Terlambat "&amp;'Input Data'!M31&amp;" hari","Tepat waktu"))</f>
      </c>
      <c r="J41" s="13"/>
    </row>
    <row r="42" ht="15" customHeight="1" spans="1:10" x14ac:dyDescent="0.25">
      <c r="A42" s="13">
        <f t="shared" si="0"/>
      </c>
      <c r="B42" s="4">
        <f t="shared" si="0"/>
      </c>
      <c r="C42" s="13">
        <f t="shared" si="0"/>
      </c>
      <c r="D42" s="13">
        <f t="shared" si="0"/>
      </c>
      <c r="E42" s="46">
        <f>IF('Input Data'!D32="","",IF('Input Data'!K32="",IF('Input Data'!$D$8="","",'Input Data'!$D$8),'Input Data'!K32))</f>
      </c>
      <c r="F42" s="13">
        <f>IF('Input Data'!G32="","",'Input Data'!G32)</f>
      </c>
      <c r="G42" s="13">
        <f t="shared" si="1"/>
      </c>
      <c r="H42" s="46">
        <f>IF('Input Data'!D32="","",IF('Input Data'!L32="",IF('Input Data'!$J$7="","",'Input Data'!$J$7),'Input Data'!L32))</f>
      </c>
      <c r="I42" s="13">
        <f>IF('Input Data'!M32="","",IF('Input Data'!M32&gt;0,"Terlambat "&amp;'Input Data'!M32&amp;" hari","Tepat waktu"))</f>
      </c>
      <c r="J42" s="13"/>
    </row>
    <row r="44" ht="15" customHeight="1" spans="1:10" x14ac:dyDescent="0.25">
      <c r="A44" s="28" t="s">
        <v>155</v>
      </c>
      <c r="B44" s="28"/>
      <c r="C44" s="28"/>
      <c r="D44" s="28"/>
      <c r="E44" s="28"/>
      <c r="F44" s="28"/>
      <c r="G44" s="28"/>
      <c r="H44" s="28"/>
      <c r="I44" s="28"/>
      <c r="J44" s="28"/>
    </row>
    <row r="45" ht="27" customHeight="1" spans="1:10" x14ac:dyDescent="0.25">
      <c r="A45" s="28" t="s">
        <v>156</v>
      </c>
      <c r="B45" s="28"/>
      <c r="C45" s="28"/>
      <c r="D45" s="28"/>
      <c r="E45" s="28"/>
      <c r="F45" s="28"/>
      <c r="G45" s="28"/>
      <c r="H45" s="28"/>
      <c r="I45" s="28"/>
      <c r="J45" s="28"/>
    </row>
    <row r="46" ht="15" customHeight="1" spans="1:8" x14ac:dyDescent="0.25">
      <c r="A46" s="47" t="s">
        <v>157</v>
      </c>
      <c r="B46" s="47"/>
      <c r="C46" s="48">
        <f>'Input Data'!$D$18</f>
        <v>0.001</v>
      </c>
      <c r="D46" s="48"/>
      <c r="E46" s="47" t="s">
        <v>158</v>
      </c>
      <c r="F46" s="47"/>
      <c r="G46" s="47"/>
      <c r="H46" s="48">
        <f>'Input Data'!$D$19</f>
        <v>0.05</v>
      </c>
    </row>
    <row r="47" ht="15" customHeight="1" spans="1:10" x14ac:dyDescent="0.25">
      <c r="A47" s="29" t="s">
        <v>149</v>
      </c>
      <c r="B47" s="29" t="s">
        <v>66</v>
      </c>
      <c r="C47" s="29" t="s">
        <v>146</v>
      </c>
      <c r="D47" s="29" t="s">
        <v>43</v>
      </c>
      <c r="E47" s="29"/>
      <c r="F47" s="29" t="s">
        <v>159</v>
      </c>
      <c r="G47" s="29"/>
      <c r="H47" s="29" t="s">
        <v>160</v>
      </c>
      <c r="I47" s="29"/>
      <c r="J47" s="29" t="s">
        <v>161</v>
      </c>
    </row>
    <row r="48" ht="18" customHeight="1" spans="1:10" x14ac:dyDescent="0.25">
      <c r="A48" s="29"/>
      <c r="B48" s="29"/>
      <c r="C48" s="29"/>
      <c r="D48" s="29"/>
      <c r="E48" s="29"/>
      <c r="F48" s="29"/>
      <c r="G48" s="29"/>
      <c r="H48" s="29" t="s">
        <v>162</v>
      </c>
      <c r="I48" s="29" t="s">
        <v>163</v>
      </c>
      <c r="J48" s="29"/>
    </row>
    <row r="49" ht="15" customHeight="1" spans="1:10" x14ac:dyDescent="0.25">
      <c r="A49" s="13" t="str">
        <f t="shared" ref="A49:C58" si="2">A18</f>
        <v>1</v>
      </c>
      <c r="B49" s="4" t="str">
        <f t="shared" si="2"/>
        <v>CUP PACKER, 7" X 2.7/8", 22-24#</v>
      </c>
      <c r="C49" s="13">
        <f t="shared" si="2"/>
        <v>2</v>
      </c>
      <c r="D49" s="17">
        <f t="shared" ref="D49:D58" si="3">G18</f>
        <v>65865000</v>
      </c>
      <c r="E49" s="17"/>
      <c r="F49" s="17">
        <f t="shared" ref="F49:F58" si="4">I18</f>
        <v>131730000</v>
      </c>
      <c r="G49" s="17"/>
      <c r="H49" s="13" t="e">
        <f>IF('Input Data'!M23="","",'Input Data'!M23)</f>
        <v>#VALUE!</v>
      </c>
      <c r="I49" s="38" t="e">
        <f t="shared" ref="I49:I58" si="5">IF(H49="","",MIN(H49*$C$46,$H$46))</f>
        <v>#VALUE!</v>
      </c>
      <c r="J49" s="17" t="e">
        <f t="shared" ref="J49:J58" si="6">IF(OR(I49="",F49=""),"",ROUND(F49*I49,0))</f>
        <v>#VALUE!</v>
      </c>
    </row>
    <row r="50" ht="15" customHeight="1" spans="1:10" x14ac:dyDescent="0.25">
      <c r="A50" s="13" t="str">
        <f t="shared" si="2"/>
        <v>2</v>
      </c>
      <c r="B50" s="4" t="str">
        <f t="shared" si="2"/>
        <v>PCKR,REDRESS KIT,CUP,7,J55,5000,300</v>
      </c>
      <c r="C50" s="13">
        <f t="shared" si="2"/>
        <v>18</v>
      </c>
      <c r="D50" s="17">
        <f t="shared" si="3"/>
        <v>8500000</v>
      </c>
      <c r="E50" s="17"/>
      <c r="F50" s="17">
        <f t="shared" si="4"/>
        <v>153000000</v>
      </c>
      <c r="G50" s="17"/>
      <c r="H50" s="13" t="e">
        <f>IF('Input Data'!M24="","",'Input Data'!M24)</f>
        <v>#VALUE!</v>
      </c>
      <c r="I50" s="38" t="e">
        <f t="shared" si="5"/>
        <v>#VALUE!</v>
      </c>
      <c r="J50" s="17" t="e">
        <f t="shared" si="6"/>
        <v>#VALUE!</v>
      </c>
    </row>
    <row r="51" ht="15" customHeight="1" spans="1:10" x14ac:dyDescent="0.25">
      <c r="A51" s="13">
        <f t="shared" si="2"/>
      </c>
      <c r="B51" s="4">
        <f t="shared" si="2"/>
      </c>
      <c r="C51" s="13">
        <f t="shared" si="2"/>
      </c>
      <c r="D51" s="17">
        <f t="shared" si="3"/>
      </c>
      <c r="E51" s="17"/>
      <c r="F51" s="17">
        <f t="shared" si="4"/>
      </c>
      <c r="G51" s="17"/>
      <c r="H51" s="13">
        <f>IF('Input Data'!M25="","",'Input Data'!M25)</f>
      </c>
      <c r="I51" s="38">
        <f t="shared" si="5"/>
      </c>
      <c r="J51" s="17">
        <f t="shared" si="6"/>
      </c>
    </row>
    <row r="52" ht="15" customHeight="1" spans="1:10" x14ac:dyDescent="0.25">
      <c r="A52" s="13">
        <f t="shared" si="2"/>
      </c>
      <c r="B52" s="4">
        <f t="shared" si="2"/>
      </c>
      <c r="C52" s="13">
        <f t="shared" si="2"/>
      </c>
      <c r="D52" s="17">
        <f t="shared" si="3"/>
      </c>
      <c r="E52" s="17"/>
      <c r="F52" s="17">
        <f t="shared" si="4"/>
      </c>
      <c r="G52" s="17"/>
      <c r="H52" s="13">
        <f>IF('Input Data'!M26="","",'Input Data'!M26)</f>
      </c>
      <c r="I52" s="38">
        <f t="shared" si="5"/>
      </c>
      <c r="J52" s="17">
        <f t="shared" si="6"/>
      </c>
    </row>
    <row r="53" ht="15" customHeight="1" spans="1:10" x14ac:dyDescent="0.25">
      <c r="A53" s="13">
        <f t="shared" si="2"/>
      </c>
      <c r="B53" s="4">
        <f t="shared" si="2"/>
      </c>
      <c r="C53" s="13">
        <f t="shared" si="2"/>
      </c>
      <c r="D53" s="17">
        <f t="shared" si="3"/>
      </c>
      <c r="E53" s="17"/>
      <c r="F53" s="17">
        <f t="shared" si="4"/>
      </c>
      <c r="G53" s="17"/>
      <c r="H53" s="13">
        <f>IF('Input Data'!M27="","",'Input Data'!M27)</f>
      </c>
      <c r="I53" s="38">
        <f t="shared" si="5"/>
      </c>
      <c r="J53" s="17">
        <f t="shared" si="6"/>
      </c>
    </row>
    <row r="54" ht="15" customHeight="1" spans="1:10" x14ac:dyDescent="0.25">
      <c r="A54" s="13">
        <f t="shared" si="2"/>
      </c>
      <c r="B54" s="4">
        <f t="shared" si="2"/>
      </c>
      <c r="C54" s="13">
        <f t="shared" si="2"/>
      </c>
      <c r="D54" s="17">
        <f t="shared" si="3"/>
      </c>
      <c r="E54" s="17"/>
      <c r="F54" s="17">
        <f t="shared" si="4"/>
      </c>
      <c r="G54" s="17"/>
      <c r="H54" s="13">
        <f>IF('Input Data'!M28="","",'Input Data'!M28)</f>
      </c>
      <c r="I54" s="38">
        <f t="shared" si="5"/>
      </c>
      <c r="J54" s="17">
        <f t="shared" si="6"/>
      </c>
    </row>
    <row r="55" ht="15" customHeight="1" spans="1:10" x14ac:dyDescent="0.25">
      <c r="A55" s="13">
        <f t="shared" si="2"/>
      </c>
      <c r="B55" s="4">
        <f t="shared" si="2"/>
      </c>
      <c r="C55" s="13">
        <f t="shared" si="2"/>
      </c>
      <c r="D55" s="17">
        <f t="shared" si="3"/>
      </c>
      <c r="E55" s="17"/>
      <c r="F55" s="17">
        <f t="shared" si="4"/>
      </c>
      <c r="G55" s="17"/>
      <c r="H55" s="13">
        <f>IF('Input Data'!M29="","",'Input Data'!M29)</f>
      </c>
      <c r="I55" s="38">
        <f t="shared" si="5"/>
      </c>
      <c r="J55" s="17">
        <f t="shared" si="6"/>
      </c>
    </row>
    <row r="56" ht="15" customHeight="1" spans="1:10" x14ac:dyDescent="0.25">
      <c r="A56" s="13">
        <f t="shared" si="2"/>
      </c>
      <c r="B56" s="4">
        <f t="shared" si="2"/>
      </c>
      <c r="C56" s="13">
        <f t="shared" si="2"/>
      </c>
      <c r="D56" s="17">
        <f t="shared" si="3"/>
      </c>
      <c r="E56" s="17"/>
      <c r="F56" s="17">
        <f t="shared" si="4"/>
      </c>
      <c r="G56" s="17"/>
      <c r="H56" s="13">
        <f>IF('Input Data'!M30="","",'Input Data'!M30)</f>
      </c>
      <c r="I56" s="38">
        <f t="shared" si="5"/>
      </c>
      <c r="J56" s="17">
        <f t="shared" si="6"/>
      </c>
    </row>
    <row r="57" ht="15" customHeight="1" spans="1:10" x14ac:dyDescent="0.25">
      <c r="A57" s="13">
        <f t="shared" si="2"/>
      </c>
      <c r="B57" s="4">
        <f t="shared" si="2"/>
      </c>
      <c r="C57" s="13">
        <f t="shared" si="2"/>
      </c>
      <c r="D57" s="17">
        <f t="shared" si="3"/>
      </c>
      <c r="E57" s="17"/>
      <c r="F57" s="17">
        <f t="shared" si="4"/>
      </c>
      <c r="G57" s="17"/>
      <c r="H57" s="13">
        <f>IF('Input Data'!M31="","",'Input Data'!M31)</f>
      </c>
      <c r="I57" s="38">
        <f t="shared" si="5"/>
      </c>
      <c r="J57" s="17">
        <f t="shared" si="6"/>
      </c>
    </row>
    <row r="58" ht="15" customHeight="1" spans="1:10" x14ac:dyDescent="0.25">
      <c r="A58" s="13">
        <f t="shared" si="2"/>
      </c>
      <c r="B58" s="4">
        <f t="shared" si="2"/>
      </c>
      <c r="C58" s="13">
        <f t="shared" si="2"/>
      </c>
      <c r="D58" s="17">
        <f t="shared" si="3"/>
      </c>
      <c r="E58" s="17"/>
      <c r="F58" s="17">
        <f t="shared" si="4"/>
      </c>
      <c r="G58" s="17"/>
      <c r="H58" s="13">
        <f>IF('Input Data'!M32="","",'Input Data'!M32)</f>
      </c>
      <c r="I58" s="38">
        <f t="shared" si="5"/>
      </c>
      <c r="J58" s="17">
        <f t="shared" si="6"/>
      </c>
    </row>
    <row r="59" ht="15" customHeight="1" spans="1:10" x14ac:dyDescent="0.25">
      <c r="A59" s="20" t="s">
        <v>51</v>
      </c>
      <c r="B59" s="20"/>
      <c r="C59" s="20"/>
      <c r="D59" s="20"/>
      <c r="E59" s="20"/>
      <c r="F59" s="20"/>
      <c r="G59" s="20"/>
      <c r="H59" s="20"/>
      <c r="I59" s="20"/>
      <c r="J59" s="21" t="e">
        <f>SUM(J49:J58)</f>
        <v>#VALUE!</v>
      </c>
    </row>
    <row r="61" ht="15" customHeight="1" spans="1:10" x14ac:dyDescent="0.25">
      <c r="A61" s="28" t="s">
        <v>164</v>
      </c>
      <c r="B61" s="28"/>
      <c r="C61" s="28"/>
      <c r="D61" s="28"/>
      <c r="E61" s="28"/>
      <c r="F61" s="28"/>
      <c r="G61" s="28"/>
      <c r="H61" s="28"/>
      <c r="I61" s="28"/>
      <c r="J61" s="28"/>
    </row>
    <row r="63" ht="15" customHeight="1" spans="1:10" x14ac:dyDescent="0.25">
      <c r="A63" s="13" t="s">
        <v>165</v>
      </c>
      <c r="B63" s="13"/>
      <c r="C63" s="13" t="s">
        <v>166</v>
      </c>
      <c r="D63" s="13"/>
      <c r="E63" s="13"/>
      <c r="F63" s="13"/>
      <c r="G63" s="13" t="s">
        <v>167</v>
      </c>
      <c r="H63" s="13"/>
      <c r="I63" s="13"/>
      <c r="J63" s="13"/>
    </row>
    <row r="64" ht="13.5" customHeight="1" spans="1:10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3.5" customHeight="1" spans="1:1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3.5" customHeight="1" spans="1:10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3.5" customHeight="1" spans="1:1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3.5" customHeight="1" spans="1:1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2" ht="15" customHeight="1" spans="1:10" x14ac:dyDescent="0.25">
      <c r="A72" s="22" t="s">
        <v>52</v>
      </c>
      <c r="B72" s="22"/>
      <c r="C72" s="22"/>
      <c r="D72" s="22"/>
      <c r="E72" s="22"/>
      <c r="F72" s="22"/>
      <c r="G72" s="22"/>
      <c r="H72" s="22"/>
      <c r="I72" s="22"/>
      <c r="J72" s="22"/>
    </row>
    <row r="73" ht="25.5" customHeight="1" spans="1:10" x14ac:dyDescent="0.25">
      <c r="A73" s="2" t="s">
        <v>168</v>
      </c>
      <c r="B73" s="2"/>
      <c r="C73" s="2"/>
      <c r="D73" s="2"/>
      <c r="E73" s="2"/>
      <c r="F73" s="2"/>
      <c r="G73" s="2"/>
      <c r="H73" s="2"/>
      <c r="I73" s="2"/>
      <c r="J73" s="2"/>
    </row>
    <row r="74" ht="25.5" customHeight="1" spans="1:10" x14ac:dyDescent="0.25">
      <c r="A74" s="2" t="s">
        <v>169</v>
      </c>
      <c r="B74" s="2"/>
      <c r="C74" s="2"/>
      <c r="D74" s="2"/>
      <c r="E74" s="2"/>
      <c r="F74" s="2"/>
      <c r="G74" s="2"/>
      <c r="H74" s="2"/>
      <c r="I74" s="2"/>
      <c r="J74" s="2"/>
    </row>
    <row r="75" ht="37.5" customHeight="1" spans="1:10" x14ac:dyDescent="0.25">
      <c r="A75" s="2" t="s">
        <v>170</v>
      </c>
      <c r="B75" s="2"/>
      <c r="C75" s="2"/>
      <c r="D75" s="2"/>
      <c r="E75" s="2"/>
      <c r="F75" s="2"/>
      <c r="G75" s="2"/>
      <c r="H75" s="2"/>
      <c r="I75" s="2"/>
      <c r="J75" s="2"/>
    </row>
  </sheetData>
  <mergeCells count="126">
    <mergeCell ref="A1:J1"/>
    <mergeCell ref="A2:B3"/>
    <mergeCell ref="C2:J3"/>
    <mergeCell ref="C5:D5"/>
    <mergeCell ref="E5:H5"/>
    <mergeCell ref="A6:B6"/>
    <mergeCell ref="C6:J6"/>
    <mergeCell ref="A7:B7"/>
    <mergeCell ref="C7:J7"/>
    <mergeCell ref="A8:B8"/>
    <mergeCell ref="C8:J8"/>
    <mergeCell ref="A9:B9"/>
    <mergeCell ref="C9:J9"/>
    <mergeCell ref="A10:B10"/>
    <mergeCell ref="C10:J10"/>
    <mergeCell ref="A11:B11"/>
    <mergeCell ref="C11:J11"/>
    <mergeCell ref="A12:B12"/>
    <mergeCell ref="C12:J12"/>
    <mergeCell ref="A13:B13"/>
    <mergeCell ref="C13:J13"/>
    <mergeCell ref="A14:B14"/>
    <mergeCell ref="C14:J14"/>
    <mergeCell ref="A15:B15"/>
    <mergeCell ref="C15:J15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A28:H28"/>
    <mergeCell ref="I28:J28"/>
    <mergeCell ref="A30:J30"/>
    <mergeCell ref="C31:E31"/>
    <mergeCell ref="F31:H31"/>
    <mergeCell ref="I31:J32"/>
    <mergeCell ref="A31:A32"/>
    <mergeCell ref="B31:B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A44:J44"/>
    <mergeCell ref="A45:J45"/>
    <mergeCell ref="A46:B46"/>
    <mergeCell ref="C46:D46"/>
    <mergeCell ref="E46:G46"/>
    <mergeCell ref="D47:E48"/>
    <mergeCell ref="F47:G48"/>
    <mergeCell ref="H47:I47"/>
    <mergeCell ref="A47:A48"/>
    <mergeCell ref="B47:B48"/>
    <mergeCell ref="C47:C48"/>
    <mergeCell ref="J47:J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A59:I59"/>
    <mergeCell ref="A61:J61"/>
    <mergeCell ref="A63:B63"/>
    <mergeCell ref="C63:F63"/>
    <mergeCell ref="G63:J63"/>
    <mergeCell ref="A64:B68"/>
    <mergeCell ref="C64:F68"/>
    <mergeCell ref="G64:J68"/>
    <mergeCell ref="A69:B69"/>
    <mergeCell ref="C69:F69"/>
    <mergeCell ref="G69:J69"/>
    <mergeCell ref="A70:B70"/>
    <mergeCell ref="C70:F70"/>
    <mergeCell ref="G70:J70"/>
    <mergeCell ref="A72:J72"/>
    <mergeCell ref="A73:J73"/>
    <mergeCell ref="A74:J74"/>
    <mergeCell ref="A75:J75"/>
  </mergeCells>
  <printOptions horizontalCentered="1"/>
  <pageMargins left="0.5" right="0.5" top="0.6" bottom="0.6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 zoomScale="100" zoomScaleNormal="100"/>
  </sheetViews>
  <sheetFormatPr defaultRowHeight="15" outlineLevelRow="0" outlineLevelCol="0" x14ac:dyDescent="0.25" defaultColWidth="8.5703125"/>
  <cols>
    <col min="1" max="1" width="55" customWidth="1"/>
  </cols>
  <sheetData>
    <row r="1" spans="1:1" x14ac:dyDescent="0.25">
      <c r="A1" t="s">
        <v>171</v>
      </c>
    </row>
    <row r="2" spans="1:1" x14ac:dyDescent="0.25">
      <c r="A2" s="49" t="s">
        <v>124</v>
      </c>
    </row>
    <row r="3" spans="1:1" x14ac:dyDescent="0.25">
      <c r="A3" s="49" t="s">
        <v>125</v>
      </c>
    </row>
    <row r="4" spans="1:1" x14ac:dyDescent="0.25">
      <c r="A4" s="49" t="s">
        <v>126</v>
      </c>
    </row>
    <row r="5" spans="1:1" x14ac:dyDescent="0.25">
      <c r="A5" s="49" t="s">
        <v>172</v>
      </c>
    </row>
    <row r="6" spans="1:1" x14ac:dyDescent="0.25">
      <c r="A6" s="49" t="s">
        <v>173</v>
      </c>
    </row>
    <row r="7" spans="1:1" x14ac:dyDescent="0.25">
      <c r="A7" s="49" t="s">
        <v>174</v>
      </c>
    </row>
    <row r="8" spans="1:1" x14ac:dyDescent="0.25">
      <c r="A8" s="49" t="s">
        <v>175</v>
      </c>
    </row>
    <row r="9" spans="1:1" x14ac:dyDescent="0.25">
      <c r="A9" s="49" t="s">
        <v>176</v>
      </c>
    </row>
    <row r="10" spans="1:1" x14ac:dyDescent="0.25">
      <c r="A10" s="49" t="s">
        <v>177</v>
      </c>
    </row>
    <row r="11" spans="1:1" x14ac:dyDescent="0.25">
      <c r="A11" s="49" t="s">
        <v>178</v>
      </c>
    </row>
    <row r="12" spans="1:1" x14ac:dyDescent="0.25">
      <c r="A12" s="49" t="s">
        <v>179</v>
      </c>
    </row>
    <row r="13" spans="1:1" x14ac:dyDescent="0.25">
      <c r="A13" s="49" t="s">
        <v>180</v>
      </c>
    </row>
    <row r="14" spans="1:1" x14ac:dyDescent="0.25">
      <c r="A14" s="49" t="s">
        <v>181</v>
      </c>
    </row>
    <row r="15" spans="1:1" x14ac:dyDescent="0.25">
      <c r="A15" s="49" t="s">
        <v>182</v>
      </c>
    </row>
    <row r="16" spans="1:1" x14ac:dyDescent="0.25">
      <c r="A16" s="49" t="s">
        <v>183</v>
      </c>
    </row>
    <row r="17" spans="1:1" x14ac:dyDescent="0.25">
      <c r="A17" s="49" t="s">
        <v>184</v>
      </c>
    </row>
    <row r="18" spans="1:1" x14ac:dyDescent="0.25">
      <c r="A18" s="49" t="s">
        <v>185</v>
      </c>
    </row>
    <row r="19" spans="1:1" x14ac:dyDescent="0.25">
      <c r="A19" s="49" t="s">
        <v>186</v>
      </c>
    </row>
    <row r="20" spans="1:1" x14ac:dyDescent="0.25">
      <c r="A20" s="49" t="s">
        <v>187</v>
      </c>
    </row>
    <row r="21" spans="1:1" x14ac:dyDescent="0.25">
      <c r="A21" s="49" t="s">
        <v>188</v>
      </c>
    </row>
    <row r="22" spans="1:1" x14ac:dyDescent="0.25">
      <c r="A22" s="49" t="s">
        <v>189</v>
      </c>
    </row>
    <row r="23" spans="1:1" x14ac:dyDescent="0.25">
      <c r="A23" s="49" t="s">
        <v>190</v>
      </c>
    </row>
    <row r="24" spans="1:1" x14ac:dyDescent="0.25">
      <c r="A24" s="49" t="s">
        <v>191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Data</vt:lpstr>
      <vt:lpstr>BASTB</vt:lpstr>
      <vt:lpstr>LHPB</vt:lpstr>
      <vt:lpstr>Denda Keterlambatan</vt:lpstr>
      <vt:lpstr>Daftar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Zulfah Aryani</cp:lastModifiedBy>
  <cp:lastPrinted>2026-10-20T06:17:59Z</cp:lastPrinted>
  <dcterms:created xsi:type="dcterms:W3CDTF">2026-10-07T01:09:51Z</dcterms:created>
  <dcterms:modified xsi:type="dcterms:W3CDTF">2026-10-20T06:21:14Z</dcterms:modified>
</cp:coreProperties>
</file>